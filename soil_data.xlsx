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gent\Papers\4th_pedotransfer\github\"/>
    </mc:Choice>
  </mc:AlternateContent>
  <xr:revisionPtr revIDLastSave="0" documentId="13_ncr:1_{161A20D1-2419-40FD-A38B-AB337809D4E7}" xr6:coauthVersionLast="47" xr6:coauthVersionMax="47" xr10:uidLastSave="{00000000-0000-0000-0000-000000000000}"/>
  <bookViews>
    <workbookView xWindow="-110" yWindow="-110" windowWidth="25820" windowHeight="15500" activeTab="1" xr2:uid="{37D73497-A9B1-4868-A258-ECB273CEE7A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42" i="2" l="1"/>
  <c r="AA42" i="2"/>
  <c r="AB41" i="2"/>
  <c r="AA41" i="2"/>
  <c r="AB40" i="2"/>
  <c r="AA40" i="2"/>
  <c r="AB39" i="2"/>
  <c r="AA39" i="2"/>
  <c r="AB38" i="2"/>
  <c r="AA38" i="2"/>
  <c r="AB37" i="2"/>
  <c r="AA37" i="2"/>
  <c r="AB36" i="2"/>
  <c r="AA36" i="2"/>
  <c r="AB35" i="2"/>
  <c r="AA35" i="2"/>
  <c r="AB34" i="2"/>
  <c r="AA34" i="2"/>
  <c r="AB33" i="2"/>
  <c r="AA33" i="2"/>
  <c r="AB32" i="2"/>
  <c r="AA32" i="2"/>
  <c r="AB31" i="2"/>
  <c r="AA31" i="2"/>
  <c r="AB30" i="2"/>
  <c r="AA30" i="2"/>
  <c r="AB29" i="2"/>
  <c r="AA29" i="2"/>
  <c r="AB28" i="2"/>
  <c r="AA28" i="2"/>
  <c r="AB27" i="2"/>
  <c r="AA27" i="2"/>
  <c r="AB26" i="2"/>
  <c r="AA26" i="2"/>
  <c r="AB25" i="2"/>
  <c r="AA25" i="2"/>
  <c r="AB24" i="2"/>
  <c r="AA24" i="2"/>
  <c r="AB23" i="2"/>
  <c r="AA23" i="2"/>
  <c r="AB22" i="2"/>
  <c r="AA22" i="2"/>
  <c r="AB21" i="2"/>
  <c r="AA21" i="2"/>
  <c r="AB20" i="2"/>
  <c r="AA20" i="2"/>
  <c r="AB19" i="2"/>
  <c r="AA19" i="2"/>
  <c r="AB18" i="2"/>
  <c r="AA18" i="2"/>
  <c r="AB17" i="2"/>
  <c r="AA17" i="2"/>
  <c r="Z16" i="2"/>
  <c r="AB16" i="2" s="1"/>
  <c r="Y16" i="2"/>
  <c r="AA16" i="2" s="1"/>
  <c r="Z15" i="2"/>
  <c r="AB15" i="2" s="1"/>
  <c r="Y15" i="2"/>
  <c r="AA15" i="2" s="1"/>
  <c r="Z14" i="2"/>
  <c r="AB14" i="2" s="1"/>
  <c r="Y14" i="2"/>
  <c r="AA14" i="2" s="1"/>
  <c r="AB13" i="2"/>
  <c r="AA13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AB5" i="2"/>
  <c r="AA5" i="2"/>
  <c r="AB4" i="2"/>
  <c r="AA4" i="2"/>
  <c r="AB3" i="2"/>
  <c r="AA3" i="2"/>
  <c r="AB2" i="2"/>
  <c r="AA2" i="2"/>
  <c r="AA60" i="1"/>
  <c r="Z60" i="1"/>
  <c r="AA61" i="1" l="1"/>
  <c r="Z61" i="1"/>
  <c r="AA59" i="1"/>
  <c r="Z59" i="1"/>
  <c r="AA55" i="1"/>
  <c r="Z55" i="1"/>
  <c r="AA54" i="1"/>
  <c r="Z54" i="1"/>
  <c r="AA53" i="1"/>
  <c r="Z53" i="1"/>
  <c r="AA51" i="1"/>
  <c r="Z51" i="1"/>
  <c r="AA50" i="1"/>
  <c r="Z50" i="1"/>
  <c r="AA49" i="1"/>
  <c r="Z49" i="1"/>
  <c r="AA48" i="1"/>
  <c r="Z48" i="1"/>
  <c r="AA47" i="1"/>
  <c r="Z47" i="1"/>
  <c r="AA43" i="1"/>
  <c r="Z43" i="1"/>
  <c r="AA42" i="1"/>
  <c r="Z42" i="1"/>
  <c r="AA41" i="1"/>
  <c r="Z41" i="1"/>
  <c r="AA40" i="1"/>
  <c r="Z40" i="1"/>
  <c r="AA39" i="1"/>
  <c r="Z39" i="1"/>
  <c r="AA38" i="1"/>
  <c r="Z38" i="1"/>
  <c r="AA37" i="1"/>
  <c r="Z37" i="1"/>
  <c r="AA36" i="1"/>
  <c r="Z36" i="1"/>
  <c r="AA35" i="1"/>
  <c r="Z35" i="1"/>
  <c r="AA31" i="1"/>
  <c r="Z31" i="1"/>
  <c r="AA30" i="1"/>
  <c r="Z30" i="1"/>
  <c r="AA29" i="1"/>
  <c r="Z29" i="1"/>
  <c r="AA28" i="1"/>
  <c r="Z28" i="1"/>
  <c r="AA27" i="1"/>
  <c r="Z27" i="1"/>
  <c r="AA26" i="1"/>
  <c r="Z26" i="1"/>
  <c r="Y25" i="1"/>
  <c r="AA25" i="1" s="1"/>
  <c r="X25" i="1"/>
  <c r="Z25" i="1" s="1"/>
  <c r="AA24" i="1"/>
  <c r="Z24" i="1"/>
  <c r="Y24" i="1"/>
  <c r="X24" i="1"/>
  <c r="Y23" i="1"/>
  <c r="AA23" i="1" s="1"/>
  <c r="X23" i="1"/>
  <c r="Z23" i="1" s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7" i="1"/>
  <c r="Z7" i="1"/>
  <c r="AA6" i="1"/>
  <c r="Z6" i="1"/>
  <c r="AA5" i="1"/>
  <c r="Z5" i="1"/>
</calcChain>
</file>

<file path=xl/sharedStrings.xml><?xml version="1.0" encoding="utf-8"?>
<sst xmlns="http://schemas.openxmlformats.org/spreadsheetml/2006/main" count="458" uniqueCount="42">
  <si>
    <t>no</t>
  </si>
  <si>
    <t>year</t>
  </si>
  <si>
    <t>date</t>
  </si>
  <si>
    <t>treatmentnumber</t>
  </si>
  <si>
    <t>treatment</t>
  </si>
  <si>
    <t>plot</t>
  </si>
  <si>
    <t>depthnumber</t>
  </si>
  <si>
    <t>depth</t>
  </si>
  <si>
    <t>SOC</t>
  </si>
  <si>
    <t>sand</t>
  </si>
  <si>
    <t>silt</t>
  </si>
  <si>
    <t>clay</t>
  </si>
  <si>
    <t>FC</t>
  </si>
  <si>
    <t>FC_33</t>
  </si>
  <si>
    <t>PWP</t>
  </si>
  <si>
    <t>EC</t>
  </si>
  <si>
    <t>SAR</t>
  </si>
  <si>
    <t>pH</t>
  </si>
  <si>
    <t>BD</t>
  </si>
  <si>
    <t>WR</t>
  </si>
  <si>
    <t>Ka</t>
  </si>
  <si>
    <t>2021-03-27</t>
  </si>
  <si>
    <t>rainfed</t>
  </si>
  <si>
    <t>0-20</t>
  </si>
  <si>
    <t>20-40</t>
  </si>
  <si>
    <t>40-60</t>
  </si>
  <si>
    <t/>
  </si>
  <si>
    <t>rainwater</t>
  </si>
  <si>
    <t>TWW vegetable</t>
  </si>
  <si>
    <t>TWW households</t>
  </si>
  <si>
    <t>TWW potato</t>
  </si>
  <si>
    <t>FC_measured</t>
  </si>
  <si>
    <t>FC_33_measured</t>
  </si>
  <si>
    <t>misfit_FC</t>
  </si>
  <si>
    <t>misfit_FC_33</t>
  </si>
  <si>
    <t>NA</t>
  </si>
  <si>
    <t>loam</t>
  </si>
  <si>
    <t>loamy sand</t>
  </si>
  <si>
    <t>sandy loam</t>
  </si>
  <si>
    <t>texture</t>
  </si>
  <si>
    <t>ring_number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</si>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</sst>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vertical="top"/>
    </xf>
    <xf numFmtId="49" fontId="1" fillId="0" borderId="0" xfId="0" applyNumberFormat="1" applyFont="1"/>
    <xf numFmtId="0" fontId="1" fillId="0" borderId="0" xfId="0" applyFont="1"/>
    <xf numFmtId="2" fontId="1" fillId="0" borderId="0" xfId="0" applyNumberFormat="1" applyFont="1" applyAlignment="1">
      <alignment horizontal="left"/>
    </xf>
    <xf numFmtId="2" fontId="2" fillId="0" borderId="0" xfId="0" applyNumberFormat="1" applyFont="1" applyAlignment="1">
      <alignment vertical="top"/>
    </xf>
    <xf numFmtId="2" fontId="1" fillId="0" borderId="0" xfId="0" applyNumberFormat="1" applyFont="1"/>
    <xf numFmtId="49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2" fontId="0" fillId="2" borderId="0" xfId="0" applyNumberFormat="1" applyFill="1" applyAlignment="1">
      <alignment vertical="top"/>
    </xf>
    <xf numFmtId="0" fontId="0" fillId="2" borderId="0" xfId="0" applyFill="1" applyAlignment="1">
      <alignment horizontal="left"/>
    </xf>
    <xf numFmtId="164" fontId="0" fillId="0" borderId="0" xfId="0" applyNumberFormat="1"/>
    <xf numFmtId="2" fontId="0" fillId="2" borderId="0" xfId="0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5480-6D81-48C3-A4F9-E5F556046FD3}">
  <dimension ref="A1:AA61"/>
  <sheetViews>
    <sheetView topLeftCell="A10" zoomScale="70" zoomScaleNormal="70" workbookViewId="0">
      <selection activeCell="U63" sqref="A1:XFD1048576"/>
    </sheetView>
  </sheetViews>
  <sheetFormatPr defaultRowHeight="14.5" x14ac:dyDescent="0.35"/>
  <cols>
    <col min="3" max="3" width="13.36328125" customWidth="1"/>
    <col min="4" max="4" width="16.36328125" customWidth="1"/>
    <col min="6" max="6" width="20" customWidth="1"/>
    <col min="14" max="14" width="15.36328125" customWidth="1"/>
    <col min="16" max="18" width="8.7265625" style="3"/>
    <col min="25" max="25" width="10.1796875" customWidth="1"/>
    <col min="26" max="26" width="8.90625" style="3"/>
    <col min="27" max="27" width="16.54296875" style="3" customWidth="1"/>
  </cols>
  <sheetData>
    <row r="1" spans="1:27" s="6" customFormat="1" x14ac:dyDescent="0.35">
      <c r="A1" s="1" t="s">
        <v>0</v>
      </c>
      <c r="B1" s="1" t="s">
        <v>1</v>
      </c>
      <c r="C1" s="5" t="s">
        <v>2</v>
      </c>
      <c r="D1" s="5" t="s">
        <v>40</v>
      </c>
      <c r="E1" s="1" t="s">
        <v>3</v>
      </c>
      <c r="F1" s="5" t="s">
        <v>4</v>
      </c>
      <c r="G1" s="1" t="s">
        <v>5</v>
      </c>
      <c r="H1" s="1" t="s">
        <v>6</v>
      </c>
      <c r="I1" s="1" t="s">
        <v>7</v>
      </c>
      <c r="J1" s="6" t="s">
        <v>8</v>
      </c>
      <c r="K1" s="1" t="s">
        <v>9</v>
      </c>
      <c r="L1" s="1" t="s">
        <v>10</v>
      </c>
      <c r="M1" s="1" t="s">
        <v>11</v>
      </c>
      <c r="N1" s="1" t="s">
        <v>39</v>
      </c>
      <c r="O1" s="7" t="s">
        <v>18</v>
      </c>
      <c r="P1" s="9" t="s">
        <v>12</v>
      </c>
      <c r="Q1" s="9" t="s">
        <v>13</v>
      </c>
      <c r="R1" s="9" t="s">
        <v>14</v>
      </c>
      <c r="S1" s="7" t="s">
        <v>20</v>
      </c>
      <c r="T1" s="1" t="s">
        <v>15</v>
      </c>
      <c r="U1" s="8" t="s">
        <v>16</v>
      </c>
      <c r="V1" s="9" t="s">
        <v>19</v>
      </c>
      <c r="W1" s="8" t="s">
        <v>17</v>
      </c>
      <c r="X1" s="8" t="s">
        <v>31</v>
      </c>
      <c r="Y1" s="6" t="s">
        <v>32</v>
      </c>
      <c r="Z1" s="9" t="s">
        <v>33</v>
      </c>
      <c r="AA1" s="9" t="s">
        <v>34</v>
      </c>
    </row>
    <row r="2" spans="1:27" x14ac:dyDescent="0.35">
      <c r="A2">
        <v>1</v>
      </c>
      <c r="B2">
        <v>2021</v>
      </c>
      <c r="C2" s="2" t="s">
        <v>21</v>
      </c>
      <c r="D2" s="2"/>
      <c r="E2">
        <v>0</v>
      </c>
      <c r="F2" t="s">
        <v>22</v>
      </c>
      <c r="G2">
        <v>1</v>
      </c>
      <c r="H2">
        <v>1</v>
      </c>
      <c r="I2" t="s">
        <v>23</v>
      </c>
      <c r="J2">
        <v>18.14</v>
      </c>
      <c r="K2">
        <v>58.30145263671875</v>
      </c>
      <c r="L2">
        <v>29.839324951171875</v>
      </c>
      <c r="M2">
        <v>11.859219551086426</v>
      </c>
      <c r="O2">
        <v>1.2488508696120186</v>
      </c>
      <c r="S2" s="3">
        <v>51.53040203431496</v>
      </c>
      <c r="T2">
        <v>0.14849999999999999</v>
      </c>
      <c r="U2" s="4">
        <v>0.33657151288500697</v>
      </c>
      <c r="V2">
        <v>31.5</v>
      </c>
      <c r="W2" s="4">
        <v>7.83</v>
      </c>
      <c r="X2" s="4"/>
    </row>
    <row r="3" spans="1:27" x14ac:dyDescent="0.35">
      <c r="A3">
        <v>2</v>
      </c>
      <c r="B3">
        <v>2021</v>
      </c>
      <c r="C3" s="2" t="s">
        <v>21</v>
      </c>
      <c r="D3" s="2"/>
      <c r="E3">
        <v>0</v>
      </c>
      <c r="F3" t="s">
        <v>22</v>
      </c>
      <c r="G3">
        <v>1</v>
      </c>
      <c r="H3">
        <v>2</v>
      </c>
      <c r="I3" t="s">
        <v>24</v>
      </c>
      <c r="J3">
        <v>21.01</v>
      </c>
      <c r="K3">
        <v>57.264957427978516</v>
      </c>
      <c r="L3">
        <v>30.525032043457031</v>
      </c>
      <c r="M3">
        <v>12.210012435913086</v>
      </c>
      <c r="O3">
        <v>1.2888389676868601</v>
      </c>
      <c r="S3" s="3">
        <v>9.3341876197963778</v>
      </c>
      <c r="T3">
        <v>0.1202333333333333</v>
      </c>
      <c r="U3" s="4">
        <v>0.30263835350203072</v>
      </c>
      <c r="V3">
        <v>42.25</v>
      </c>
      <c r="W3" s="4">
        <v>7.66</v>
      </c>
      <c r="X3" s="4"/>
    </row>
    <row r="4" spans="1:27" x14ac:dyDescent="0.35">
      <c r="A4">
        <v>3</v>
      </c>
      <c r="B4">
        <v>2021</v>
      </c>
      <c r="C4" s="2" t="s">
        <v>21</v>
      </c>
      <c r="D4" s="2"/>
      <c r="E4">
        <v>0</v>
      </c>
      <c r="F4" t="s">
        <v>22</v>
      </c>
      <c r="G4">
        <v>1</v>
      </c>
      <c r="H4">
        <v>3</v>
      </c>
      <c r="I4" t="s">
        <v>25</v>
      </c>
      <c r="J4">
        <v>6.16</v>
      </c>
      <c r="K4">
        <v>57.665214538574219</v>
      </c>
      <c r="L4">
        <v>31.470102310180664</v>
      </c>
      <c r="M4">
        <v>10.864678382873535</v>
      </c>
      <c r="O4">
        <v>1.5386885295992301</v>
      </c>
      <c r="S4" s="3">
        <v>0.29512124104333143</v>
      </c>
      <c r="T4">
        <v>9.5399999999999985E-2</v>
      </c>
      <c r="U4" s="4">
        <v>0.14760873270808941</v>
      </c>
      <c r="V4">
        <v>40.25</v>
      </c>
      <c r="W4" s="4">
        <v>7.52</v>
      </c>
      <c r="X4" s="4"/>
    </row>
    <row r="5" spans="1:27" x14ac:dyDescent="0.35">
      <c r="A5" s="11">
        <v>4</v>
      </c>
      <c r="B5" s="11">
        <v>2021</v>
      </c>
      <c r="C5" s="10" t="s">
        <v>21</v>
      </c>
      <c r="D5" s="10"/>
      <c r="E5" s="11">
        <v>0</v>
      </c>
      <c r="F5" s="11" t="s">
        <v>22</v>
      </c>
      <c r="G5" s="11">
        <v>2</v>
      </c>
      <c r="H5" s="11">
        <v>1</v>
      </c>
      <c r="I5" s="11" t="s">
        <v>23</v>
      </c>
      <c r="J5" s="11">
        <v>19.12</v>
      </c>
      <c r="K5" s="11">
        <v>58.430458068847656</v>
      </c>
      <c r="L5" s="11">
        <v>30.691532135009766</v>
      </c>
      <c r="M5" s="11">
        <v>10.878010749816895</v>
      </c>
      <c r="N5" s="11" t="s">
        <v>38</v>
      </c>
      <c r="O5" s="11">
        <v>1.1488508696120199</v>
      </c>
      <c r="P5" s="12">
        <v>0.31259999999999999</v>
      </c>
      <c r="Q5" s="12">
        <v>0.26769999999999999</v>
      </c>
      <c r="R5" s="12">
        <v>0.16800000000000001</v>
      </c>
      <c r="S5" s="12">
        <v>28.257534164755437</v>
      </c>
      <c r="T5" s="11">
        <v>0.13156666666666669</v>
      </c>
      <c r="U5" s="13">
        <v>0.26770642154385271</v>
      </c>
      <c r="V5" s="11">
        <v>7.25</v>
      </c>
      <c r="W5" s="13">
        <v>7.61</v>
      </c>
      <c r="X5" s="13">
        <v>0.30106919999999998</v>
      </c>
      <c r="Y5">
        <v>0.27115470000000003</v>
      </c>
      <c r="Z5" s="3">
        <f t="shared" ref="Z5:AA7" si="0">P5-X5</f>
        <v>1.1530800000000008E-2</v>
      </c>
      <c r="AA5" s="3">
        <f t="shared" si="0"/>
        <v>-3.4547000000000327E-3</v>
      </c>
    </row>
    <row r="6" spans="1:27" x14ac:dyDescent="0.35">
      <c r="A6" s="11">
        <v>5</v>
      </c>
      <c r="B6" s="11">
        <v>2021</v>
      </c>
      <c r="C6" s="10" t="s">
        <v>21</v>
      </c>
      <c r="D6" s="10"/>
      <c r="E6" s="11">
        <v>0</v>
      </c>
      <c r="F6" s="11" t="s">
        <v>22</v>
      </c>
      <c r="G6" s="11">
        <v>2</v>
      </c>
      <c r="H6" s="11">
        <v>2</v>
      </c>
      <c r="I6" s="11" t="s">
        <v>24</v>
      </c>
      <c r="J6" s="11">
        <v>18.97</v>
      </c>
      <c r="K6" s="11">
        <v>58.326957702636719</v>
      </c>
      <c r="L6" s="11">
        <v>30.203395843505859</v>
      </c>
      <c r="M6" s="11">
        <v>11.469643592834473</v>
      </c>
      <c r="N6" s="11" t="s">
        <v>38</v>
      </c>
      <c r="O6" s="11">
        <v>1.38883896768686</v>
      </c>
      <c r="P6" s="12">
        <v>0.30859999999999999</v>
      </c>
      <c r="Q6" s="12">
        <v>0.27629999999999999</v>
      </c>
      <c r="R6" s="12">
        <v>0.19539999999999999</v>
      </c>
      <c r="S6" s="12">
        <v>7.0931541128541422</v>
      </c>
      <c r="T6" s="11">
        <v>0.12653333333333339</v>
      </c>
      <c r="U6" s="13">
        <v>0.1396943930252299</v>
      </c>
      <c r="V6" s="11">
        <v>20.25</v>
      </c>
      <c r="W6" s="13">
        <v>7.58</v>
      </c>
      <c r="X6" s="13">
        <v>0.30785950000000001</v>
      </c>
      <c r="Y6">
        <v>0.28164440000000002</v>
      </c>
      <c r="Z6" s="3">
        <f t="shared" si="0"/>
        <v>7.4049999999997729E-4</v>
      </c>
      <c r="AA6" s="3">
        <f t="shared" si="0"/>
        <v>-5.3444000000000269E-3</v>
      </c>
    </row>
    <row r="7" spans="1:27" x14ac:dyDescent="0.35">
      <c r="A7" s="11">
        <v>6</v>
      </c>
      <c r="B7" s="11">
        <v>2021</v>
      </c>
      <c r="C7" s="10" t="s">
        <v>21</v>
      </c>
      <c r="D7" s="10"/>
      <c r="E7" s="11">
        <v>0</v>
      </c>
      <c r="F7" s="11" t="s">
        <v>22</v>
      </c>
      <c r="G7" s="11">
        <v>2</v>
      </c>
      <c r="H7" s="11">
        <v>3</v>
      </c>
      <c r="I7" s="11" t="s">
        <v>25</v>
      </c>
      <c r="J7" s="11">
        <v>16.989999999999998</v>
      </c>
      <c r="K7" s="11">
        <v>57.414451599121094</v>
      </c>
      <c r="L7" s="11">
        <v>31.939163208007813</v>
      </c>
      <c r="M7" s="11">
        <v>10.646388053894043</v>
      </c>
      <c r="N7" s="11" t="s">
        <v>38</v>
      </c>
      <c r="O7" s="11">
        <v>1.43868852959923</v>
      </c>
      <c r="P7" s="12">
        <v>0.30859999999999999</v>
      </c>
      <c r="Q7" s="12">
        <v>0.26929999999999998</v>
      </c>
      <c r="R7" s="12">
        <v>0.158</v>
      </c>
      <c r="S7" s="12">
        <v>1.1235742325097244</v>
      </c>
      <c r="T7" s="11">
        <v>0.1204333333333333</v>
      </c>
      <c r="U7" s="13">
        <v>0.29423929967543755</v>
      </c>
      <c r="V7" s="11">
        <v>24.75</v>
      </c>
      <c r="W7" s="13">
        <v>7.57</v>
      </c>
      <c r="X7" s="13">
        <v>0.31095</v>
      </c>
      <c r="Y7">
        <v>0.26902730000000002</v>
      </c>
      <c r="Z7" s="3">
        <f t="shared" si="0"/>
        <v>-2.3500000000000187E-3</v>
      </c>
      <c r="AA7" s="3">
        <f t="shared" si="0"/>
        <v>2.7269999999995909E-4</v>
      </c>
    </row>
    <row r="8" spans="1:27" x14ac:dyDescent="0.35">
      <c r="A8">
        <v>7</v>
      </c>
      <c r="B8">
        <v>2021</v>
      </c>
      <c r="C8" s="2" t="s">
        <v>21</v>
      </c>
      <c r="D8" s="2"/>
      <c r="E8">
        <v>0</v>
      </c>
      <c r="F8" t="s">
        <v>22</v>
      </c>
      <c r="G8">
        <v>3</v>
      </c>
      <c r="H8">
        <v>1</v>
      </c>
      <c r="I8" t="s">
        <v>23</v>
      </c>
      <c r="J8">
        <v>16.850000000000001</v>
      </c>
      <c r="K8">
        <v>58.442356109619141</v>
      </c>
      <c r="L8">
        <v>30.783439636230469</v>
      </c>
      <c r="M8">
        <v>10.774203300476074</v>
      </c>
      <c r="O8" t="s">
        <v>26</v>
      </c>
      <c r="T8">
        <v>0.13270000000000001</v>
      </c>
      <c r="U8" s="4">
        <v>0.38383522848331197</v>
      </c>
      <c r="W8" s="4">
        <v>7.72</v>
      </c>
      <c r="X8" s="4"/>
    </row>
    <row r="9" spans="1:27" x14ac:dyDescent="0.35">
      <c r="A9">
        <v>8</v>
      </c>
      <c r="B9">
        <v>2021</v>
      </c>
      <c r="C9" s="2" t="s">
        <v>21</v>
      </c>
      <c r="D9" s="2"/>
      <c r="E9">
        <v>0</v>
      </c>
      <c r="F9" t="s">
        <v>22</v>
      </c>
      <c r="G9">
        <v>3</v>
      </c>
      <c r="H9">
        <v>2</v>
      </c>
      <c r="I9" t="s">
        <v>24</v>
      </c>
      <c r="J9">
        <v>17.75</v>
      </c>
      <c r="K9">
        <v>58.057563781738281</v>
      </c>
      <c r="L9">
        <v>30.783439636230469</v>
      </c>
      <c r="M9">
        <v>11.15899658203125</v>
      </c>
      <c r="O9" t="s">
        <v>26</v>
      </c>
      <c r="T9">
        <v>0.12716666666666671</v>
      </c>
      <c r="U9" s="4">
        <v>0.2842999200130864</v>
      </c>
      <c r="W9" s="4">
        <v>7.68</v>
      </c>
      <c r="X9" s="4"/>
    </row>
    <row r="10" spans="1:27" x14ac:dyDescent="0.35">
      <c r="A10">
        <v>9</v>
      </c>
      <c r="B10">
        <v>2021</v>
      </c>
      <c r="C10" s="2" t="s">
        <v>21</v>
      </c>
      <c r="D10" s="2"/>
      <c r="E10">
        <v>0</v>
      </c>
      <c r="F10" t="s">
        <v>22</v>
      </c>
      <c r="G10">
        <v>3</v>
      </c>
      <c r="H10">
        <v>3</v>
      </c>
      <c r="I10" t="s">
        <v>25</v>
      </c>
      <c r="J10">
        <v>15.46</v>
      </c>
      <c r="K10">
        <v>54.106281280517578</v>
      </c>
      <c r="L10">
        <v>33.816425323486328</v>
      </c>
      <c r="M10">
        <v>12.07729434967041</v>
      </c>
      <c r="O10" t="s">
        <v>26</v>
      </c>
      <c r="T10">
        <v>0.1278</v>
      </c>
      <c r="U10" s="4">
        <v>0.28438403402995749</v>
      </c>
      <c r="W10" s="4">
        <v>7.55</v>
      </c>
      <c r="X10" s="4"/>
    </row>
    <row r="11" spans="1:27" x14ac:dyDescent="0.35">
      <c r="A11" s="11">
        <v>10</v>
      </c>
      <c r="B11" s="11">
        <v>2021</v>
      </c>
      <c r="C11" s="10" t="s">
        <v>21</v>
      </c>
      <c r="D11" s="10"/>
      <c r="E11" s="11">
        <v>0</v>
      </c>
      <c r="F11" s="11" t="s">
        <v>22</v>
      </c>
      <c r="G11" s="11">
        <v>4</v>
      </c>
      <c r="H11" s="11">
        <v>1</v>
      </c>
      <c r="I11" s="11" t="s">
        <v>23</v>
      </c>
      <c r="J11" s="11">
        <v>16.55</v>
      </c>
      <c r="K11" s="11">
        <v>59.471977233886719</v>
      </c>
      <c r="L11" s="11">
        <v>30.106529235839844</v>
      </c>
      <c r="M11" s="11">
        <v>10.421491622924805</v>
      </c>
      <c r="N11" s="11" t="s">
        <v>38</v>
      </c>
      <c r="O11" s="11">
        <v>1.3488508696120201</v>
      </c>
      <c r="P11" s="12">
        <v>0.29809999999999998</v>
      </c>
      <c r="Q11" s="12">
        <v>0.23019999999999999</v>
      </c>
      <c r="R11" s="12">
        <v>0.16399999999999998</v>
      </c>
      <c r="S11" s="12">
        <v>5.5480422864411025</v>
      </c>
      <c r="T11" s="11">
        <v>0.12436666666666669</v>
      </c>
      <c r="U11" s="13">
        <v>0.14214256663785912</v>
      </c>
      <c r="V11" s="11">
        <v>19.25</v>
      </c>
      <c r="W11" s="13">
        <v>7.61</v>
      </c>
      <c r="X11" s="11">
        <v>0.29470000000000002</v>
      </c>
      <c r="Y11" s="15">
        <v>0.23418</v>
      </c>
      <c r="Z11" s="3">
        <f t="shared" ref="Z11:Z19" si="1">P11-X11</f>
        <v>3.3999999999999586E-3</v>
      </c>
      <c r="AA11" s="3">
        <f t="shared" ref="AA11:AA19" si="2">Q11-Y11</f>
        <v>-3.9800000000000113E-3</v>
      </c>
    </row>
    <row r="12" spans="1:27" x14ac:dyDescent="0.35">
      <c r="A12" s="11">
        <v>11</v>
      </c>
      <c r="B12" s="11">
        <v>2021</v>
      </c>
      <c r="C12" s="10" t="s">
        <v>21</v>
      </c>
      <c r="D12" s="10"/>
      <c r="E12" s="11">
        <v>0</v>
      </c>
      <c r="F12" s="11" t="s">
        <v>22</v>
      </c>
      <c r="G12" s="11">
        <v>4</v>
      </c>
      <c r="H12" s="11">
        <v>2</v>
      </c>
      <c r="I12" s="11" t="s">
        <v>24</v>
      </c>
      <c r="J12" s="11">
        <v>16.309999999999999</v>
      </c>
      <c r="K12" s="11">
        <v>59.312145233154297</v>
      </c>
      <c r="L12" s="11">
        <v>30.323966979980469</v>
      </c>
      <c r="M12" s="11">
        <v>10.363887786865234</v>
      </c>
      <c r="N12" s="11" t="s">
        <v>38</v>
      </c>
      <c r="O12" s="11">
        <v>1.5888389676868602</v>
      </c>
      <c r="P12" s="12">
        <v>0.34960000000000002</v>
      </c>
      <c r="Q12" s="12">
        <v>0.29449999999999998</v>
      </c>
      <c r="R12" s="12">
        <v>0.16219999999999998</v>
      </c>
      <c r="S12" s="12">
        <v>2.0066301661223012</v>
      </c>
      <c r="T12" s="11">
        <v>0.1248666666666667</v>
      </c>
      <c r="U12" s="13">
        <v>0.26354952003844218</v>
      </c>
      <c r="V12" s="11">
        <v>17.5</v>
      </c>
      <c r="W12" s="13">
        <v>7.64</v>
      </c>
      <c r="X12" s="13">
        <v>0.3528</v>
      </c>
      <c r="Y12">
        <v>0.29455930000000002</v>
      </c>
      <c r="Z12" s="3">
        <f t="shared" si="1"/>
        <v>-3.1999999999999806E-3</v>
      </c>
      <c r="AA12" s="3">
        <f t="shared" si="2"/>
        <v>-5.9300000000039876E-5</v>
      </c>
    </row>
    <row r="13" spans="1:27" x14ac:dyDescent="0.35">
      <c r="A13" s="11">
        <v>12</v>
      </c>
      <c r="B13" s="11">
        <v>2021</v>
      </c>
      <c r="C13" s="10" t="s">
        <v>21</v>
      </c>
      <c r="D13" s="10"/>
      <c r="E13" s="11">
        <v>0</v>
      </c>
      <c r="F13" s="11" t="s">
        <v>22</v>
      </c>
      <c r="G13" s="11">
        <v>4</v>
      </c>
      <c r="H13" s="11">
        <v>3</v>
      </c>
      <c r="I13" s="11" t="s">
        <v>25</v>
      </c>
      <c r="J13" s="11">
        <v>17.739999999999998</v>
      </c>
      <c r="K13" s="11">
        <v>55.495357513427734</v>
      </c>
      <c r="L13" s="11">
        <v>32.894737243652344</v>
      </c>
      <c r="M13" s="11">
        <v>11.609907150268555</v>
      </c>
      <c r="N13" s="11" t="s">
        <v>38</v>
      </c>
      <c r="O13" s="11">
        <v>1.6386885295992302</v>
      </c>
      <c r="P13" s="12">
        <v>0.44969999999999999</v>
      </c>
      <c r="Q13" s="12">
        <v>0.38590000000000002</v>
      </c>
      <c r="R13" s="12">
        <v>0.23079999999999998</v>
      </c>
      <c r="S13" s="12">
        <v>6.3831742509389472E-2</v>
      </c>
      <c r="T13" s="11">
        <v>0.11546666666666661</v>
      </c>
      <c r="U13" s="13">
        <v>0.25070489529410583</v>
      </c>
      <c r="V13" s="11">
        <v>62.25</v>
      </c>
      <c r="W13" s="13">
        <v>7.51</v>
      </c>
      <c r="X13" s="13">
        <v>0.45187500000000003</v>
      </c>
      <c r="Y13" s="4">
        <v>0.38290000000000002</v>
      </c>
      <c r="Z13" s="3">
        <f t="shared" si="1"/>
        <v>-2.175000000000038E-3</v>
      </c>
      <c r="AA13" s="3">
        <f t="shared" si="2"/>
        <v>3.0000000000000027E-3</v>
      </c>
    </row>
    <row r="14" spans="1:27" x14ac:dyDescent="0.35">
      <c r="A14" s="11">
        <v>13</v>
      </c>
      <c r="B14" s="11">
        <v>2021</v>
      </c>
      <c r="C14" s="10" t="s">
        <v>21</v>
      </c>
      <c r="D14" s="10"/>
      <c r="E14" s="11">
        <v>2</v>
      </c>
      <c r="F14" s="11" t="s">
        <v>27</v>
      </c>
      <c r="G14" s="11">
        <v>1</v>
      </c>
      <c r="H14" s="11">
        <v>1</v>
      </c>
      <c r="I14" s="11" t="s">
        <v>23</v>
      </c>
      <c r="J14" s="11">
        <v>13.59</v>
      </c>
      <c r="K14" s="11">
        <v>59.467727661132813</v>
      </c>
      <c r="L14" s="11">
        <v>30.590396881103516</v>
      </c>
      <c r="M14" s="11">
        <v>9.9418783187866211</v>
      </c>
      <c r="N14" s="11" t="s">
        <v>38</v>
      </c>
      <c r="O14" s="11">
        <v>1.2767041576522467</v>
      </c>
      <c r="P14" s="12">
        <v>0.29559999999999997</v>
      </c>
      <c r="Q14" s="12">
        <v>0.25329999999999997</v>
      </c>
      <c r="R14" s="12">
        <v>0.15990000000000001</v>
      </c>
      <c r="S14" s="12">
        <v>12.494268699043584</v>
      </c>
      <c r="T14" s="11">
        <v>0.1864666666666667</v>
      </c>
      <c r="U14" s="13">
        <v>0.35902466870703492</v>
      </c>
      <c r="V14" s="11">
        <v>16.5</v>
      </c>
      <c r="W14" s="13">
        <v>7.75</v>
      </c>
      <c r="X14" s="13">
        <v>0.3012455</v>
      </c>
      <c r="Y14">
        <v>0.2578396</v>
      </c>
      <c r="Z14" s="3">
        <f t="shared" si="1"/>
        <v>-5.6455000000000255E-3</v>
      </c>
      <c r="AA14" s="3">
        <f t="shared" si="2"/>
        <v>-4.5396000000000325E-3</v>
      </c>
    </row>
    <row r="15" spans="1:27" x14ac:dyDescent="0.35">
      <c r="A15" s="11">
        <v>14</v>
      </c>
      <c r="B15" s="11">
        <v>2021</v>
      </c>
      <c r="C15" s="10" t="s">
        <v>21</v>
      </c>
      <c r="D15" s="10"/>
      <c r="E15" s="11">
        <v>2</v>
      </c>
      <c r="F15" s="11" t="s">
        <v>27</v>
      </c>
      <c r="G15" s="11">
        <v>1</v>
      </c>
      <c r="H15" s="11">
        <v>2</v>
      </c>
      <c r="I15" s="11" t="s">
        <v>24</v>
      </c>
      <c r="J15" s="11">
        <v>24.58</v>
      </c>
      <c r="K15" s="11">
        <v>59.799755096435547</v>
      </c>
      <c r="L15" s="11">
        <v>29.96055793762207</v>
      </c>
      <c r="M15" s="11">
        <v>10.239684104919434</v>
      </c>
      <c r="N15" s="11" t="s">
        <v>38</v>
      </c>
      <c r="O15" s="11">
        <v>1.3065527270421087</v>
      </c>
      <c r="P15" s="12">
        <v>0.26679999999999998</v>
      </c>
      <c r="Q15" s="12">
        <v>0.21429999999999999</v>
      </c>
      <c r="R15" s="12">
        <v>0.16140000000000002</v>
      </c>
      <c r="S15" s="12">
        <v>0.7618448737357898</v>
      </c>
      <c r="T15" s="11">
        <v>0.13519999999999999</v>
      </c>
      <c r="U15" s="13">
        <v>0.33396132177018251</v>
      </c>
      <c r="V15" s="11">
        <v>9.75</v>
      </c>
      <c r="W15" s="13">
        <v>7.52</v>
      </c>
      <c r="X15" s="13">
        <v>0.2655941</v>
      </c>
      <c r="Y15">
        <v>0.22107499999999999</v>
      </c>
      <c r="Z15" s="3">
        <f t="shared" si="1"/>
        <v>1.205899999999982E-3</v>
      </c>
      <c r="AA15" s="3">
        <f t="shared" si="2"/>
        <v>-6.7750000000000032E-3</v>
      </c>
    </row>
    <row r="16" spans="1:27" x14ac:dyDescent="0.35">
      <c r="A16" s="11">
        <v>15</v>
      </c>
      <c r="B16" s="11">
        <v>2021</v>
      </c>
      <c r="C16" s="10" t="s">
        <v>21</v>
      </c>
      <c r="D16" s="10"/>
      <c r="E16" s="11">
        <v>2</v>
      </c>
      <c r="F16" s="11" t="s">
        <v>27</v>
      </c>
      <c r="G16" s="11">
        <v>1</v>
      </c>
      <c r="H16" s="11">
        <v>3</v>
      </c>
      <c r="I16" s="11" t="s">
        <v>25</v>
      </c>
      <c r="J16" s="11">
        <v>10.75</v>
      </c>
      <c r="K16" s="11">
        <v>58.636913299560547</v>
      </c>
      <c r="L16" s="11">
        <v>31.117183685302734</v>
      </c>
      <c r="M16" s="11">
        <v>10.245902061462402</v>
      </c>
      <c r="N16" s="11" t="s">
        <v>38</v>
      </c>
      <c r="O16" s="11">
        <v>1.5385262046651453</v>
      </c>
      <c r="P16" s="12">
        <v>0.29239999999999999</v>
      </c>
      <c r="Q16" s="12">
        <v>0.25769999999999998</v>
      </c>
      <c r="R16" s="12">
        <v>0.16649999999999998</v>
      </c>
      <c r="S16" s="12">
        <v>1.0424892841961402</v>
      </c>
      <c r="T16" s="11">
        <v>0.15963333333333329</v>
      </c>
      <c r="U16" s="13">
        <v>0.33319580919973191</v>
      </c>
      <c r="V16" s="11">
        <v>19.75</v>
      </c>
      <c r="W16" s="13">
        <v>7.39</v>
      </c>
      <c r="X16" s="13">
        <v>0.29596840000000002</v>
      </c>
      <c r="Y16">
        <v>0.25738800000000001</v>
      </c>
      <c r="Z16" s="3">
        <f t="shared" si="1"/>
        <v>-3.5684000000000271E-3</v>
      </c>
      <c r="AA16" s="3">
        <f t="shared" si="2"/>
        <v>3.1199999999997896E-4</v>
      </c>
    </row>
    <row r="17" spans="1:27" x14ac:dyDescent="0.35">
      <c r="A17" s="11">
        <v>16</v>
      </c>
      <c r="B17" s="11">
        <v>2021</v>
      </c>
      <c r="C17" s="10" t="s">
        <v>21</v>
      </c>
      <c r="D17" s="10"/>
      <c r="E17" s="11">
        <v>2</v>
      </c>
      <c r="F17" s="11" t="s">
        <v>27</v>
      </c>
      <c r="G17" s="11">
        <v>2</v>
      </c>
      <c r="H17" s="11">
        <v>1</v>
      </c>
      <c r="I17" s="11" t="s">
        <v>23</v>
      </c>
      <c r="J17" s="11">
        <v>18.329999999999998</v>
      </c>
      <c r="K17" s="11">
        <v>60.566612243652344</v>
      </c>
      <c r="L17" s="11">
        <v>29.479324340820313</v>
      </c>
      <c r="M17" s="11">
        <v>9.9540586471557617</v>
      </c>
      <c r="N17" s="11" t="s">
        <v>38</v>
      </c>
      <c r="O17" s="11">
        <v>1.3484122007735848</v>
      </c>
      <c r="P17" s="12">
        <v>0.28239999999999998</v>
      </c>
      <c r="Q17" s="12">
        <v>0.2321</v>
      </c>
      <c r="R17" s="12">
        <v>0.12050000000000001</v>
      </c>
      <c r="S17" s="12">
        <v>67.947421449943661</v>
      </c>
      <c r="T17" s="11">
        <v>0.14703333333333329</v>
      </c>
      <c r="U17" s="13">
        <v>0.39061188822061643</v>
      </c>
      <c r="V17" s="11">
        <v>31</v>
      </c>
      <c r="W17" s="13">
        <v>7.7</v>
      </c>
      <c r="X17" s="13">
        <v>0.28634999999999999</v>
      </c>
      <c r="Y17">
        <v>0.2296948</v>
      </c>
      <c r="Z17" s="3">
        <f t="shared" si="1"/>
        <v>-3.9500000000000091E-3</v>
      </c>
      <c r="AA17" s="3">
        <f t="shared" si="2"/>
        <v>2.4051999999999962E-3</v>
      </c>
    </row>
    <row r="18" spans="1:27" x14ac:dyDescent="0.35">
      <c r="A18" s="11">
        <v>17</v>
      </c>
      <c r="B18" s="11">
        <v>2021</v>
      </c>
      <c r="C18" s="10" t="s">
        <v>21</v>
      </c>
      <c r="D18" s="10"/>
      <c r="E18" s="11">
        <v>2</v>
      </c>
      <c r="F18" s="11" t="s">
        <v>27</v>
      </c>
      <c r="G18" s="11">
        <v>2</v>
      </c>
      <c r="H18" s="11">
        <v>2</v>
      </c>
      <c r="I18" s="11" t="s">
        <v>24</v>
      </c>
      <c r="J18" s="11">
        <v>17.22</v>
      </c>
      <c r="K18" s="11">
        <v>57.640289306640625</v>
      </c>
      <c r="L18" s="11">
        <v>32.255558013916016</v>
      </c>
      <c r="M18" s="11">
        <v>10.104150772094727</v>
      </c>
      <c r="N18" s="11" t="s">
        <v>38</v>
      </c>
      <c r="O18" s="11">
        <v>1.5786210825075406</v>
      </c>
      <c r="P18" s="12">
        <v>0.32799999999999996</v>
      </c>
      <c r="Q18" s="12">
        <v>0.27440000000000003</v>
      </c>
      <c r="R18" s="12">
        <v>0.19269999999999998</v>
      </c>
      <c r="S18" s="12">
        <v>0</v>
      </c>
      <c r="T18" s="11">
        <v>0.223</v>
      </c>
      <c r="U18" s="13">
        <v>0.2575964786322385</v>
      </c>
      <c r="V18" s="11">
        <v>80.75</v>
      </c>
      <c r="W18" s="13">
        <v>7.63</v>
      </c>
      <c r="X18" s="13">
        <v>0.32962730000000001</v>
      </c>
      <c r="Y18">
        <v>0.27810000000000001</v>
      </c>
      <c r="Z18" s="3">
        <f t="shared" si="1"/>
        <v>-1.6273000000000537E-3</v>
      </c>
      <c r="AA18" s="3">
        <f t="shared" si="2"/>
        <v>-3.6999999999999811E-3</v>
      </c>
    </row>
    <row r="19" spans="1:27" x14ac:dyDescent="0.35">
      <c r="A19" s="11">
        <v>18</v>
      </c>
      <c r="B19" s="11">
        <v>2021</v>
      </c>
      <c r="C19" s="10" t="s">
        <v>21</v>
      </c>
      <c r="D19" s="10"/>
      <c r="E19" s="11">
        <v>2</v>
      </c>
      <c r="F19" s="11" t="s">
        <v>27</v>
      </c>
      <c r="G19" s="11">
        <v>2</v>
      </c>
      <c r="H19" s="11">
        <v>3</v>
      </c>
      <c r="I19" s="11" t="s">
        <v>25</v>
      </c>
      <c r="J19" s="11">
        <v>3.73</v>
      </c>
      <c r="K19" s="11">
        <v>51.009719848632813</v>
      </c>
      <c r="L19" s="11">
        <v>36.649215698242188</v>
      </c>
      <c r="M19" s="11">
        <v>12.341062545776367</v>
      </c>
      <c r="N19" s="11" t="s">
        <v>36</v>
      </c>
      <c r="O19" s="11">
        <v>1.507785696664494</v>
      </c>
      <c r="P19" s="12">
        <v>0.34100000000000003</v>
      </c>
      <c r="Q19" s="12">
        <v>0.29620000000000002</v>
      </c>
      <c r="R19" s="12">
        <v>0.15859999999999999</v>
      </c>
      <c r="S19" s="12">
        <v>0.33501729355590659</v>
      </c>
      <c r="T19" s="11">
        <v>0.13666666666666669</v>
      </c>
      <c r="U19" s="13">
        <v>0.17030208906229408</v>
      </c>
      <c r="V19" s="11">
        <v>37.75</v>
      </c>
      <c r="W19" s="13">
        <v>7.45</v>
      </c>
      <c r="X19" s="13">
        <v>0.3395667</v>
      </c>
      <c r="Y19">
        <v>0.29549999999999998</v>
      </c>
      <c r="Z19" s="3">
        <f t="shared" si="1"/>
        <v>1.4333000000000262E-3</v>
      </c>
      <c r="AA19" s="3">
        <f t="shared" si="2"/>
        <v>7.0000000000003393E-4</v>
      </c>
    </row>
    <row r="20" spans="1:27" x14ac:dyDescent="0.35">
      <c r="A20">
        <v>19</v>
      </c>
      <c r="B20">
        <v>2021</v>
      </c>
      <c r="C20" s="2" t="s">
        <v>21</v>
      </c>
      <c r="D20" s="2"/>
      <c r="E20">
        <v>2</v>
      </c>
      <c r="F20" t="s">
        <v>27</v>
      </c>
      <c r="G20">
        <v>3</v>
      </c>
      <c r="H20">
        <v>1</v>
      </c>
      <c r="I20" t="s">
        <v>23</v>
      </c>
      <c r="J20">
        <v>13.74</v>
      </c>
      <c r="K20">
        <v>59.337120056152344</v>
      </c>
      <c r="L20">
        <v>30.305355072021484</v>
      </c>
      <c r="M20">
        <v>10.357526779174805</v>
      </c>
      <c r="O20" t="s">
        <v>26</v>
      </c>
      <c r="P20" s="3">
        <v>0.32750000000000001</v>
      </c>
      <c r="Q20" s="3">
        <v>0.28360000000000002</v>
      </c>
      <c r="R20" s="3">
        <v>0.17460000000000001</v>
      </c>
      <c r="T20">
        <v>0.20200000000000001</v>
      </c>
      <c r="U20" s="4">
        <v>0.39923855806849279</v>
      </c>
      <c r="W20" s="4">
        <v>7.52</v>
      </c>
      <c r="X20" s="4">
        <v>0.32969500000000002</v>
      </c>
    </row>
    <row r="21" spans="1:27" x14ac:dyDescent="0.35">
      <c r="A21">
        <v>20</v>
      </c>
      <c r="B21">
        <v>2021</v>
      </c>
      <c r="C21" s="2" t="s">
        <v>21</v>
      </c>
      <c r="D21" s="2"/>
      <c r="E21">
        <v>2</v>
      </c>
      <c r="F21" t="s">
        <v>27</v>
      </c>
      <c r="G21">
        <v>3</v>
      </c>
      <c r="H21">
        <v>2</v>
      </c>
      <c r="I21" t="s">
        <v>24</v>
      </c>
      <c r="J21">
        <v>13.74</v>
      </c>
      <c r="K21">
        <v>58.081569671630859</v>
      </c>
      <c r="L21">
        <v>31.344411849975586</v>
      </c>
      <c r="M21">
        <v>10.574018478393555</v>
      </c>
      <c r="O21" t="s">
        <v>26</v>
      </c>
      <c r="P21" s="3">
        <v>0.33539999999999998</v>
      </c>
      <c r="Q21" s="3">
        <v>0.29139999999999999</v>
      </c>
      <c r="R21" s="3">
        <v>0.16420000000000001</v>
      </c>
      <c r="T21">
        <v>0.13593333333333329</v>
      </c>
      <c r="U21" s="4">
        <v>0.34560871710444824</v>
      </c>
      <c r="W21" s="4">
        <v>7.42</v>
      </c>
      <c r="X21" s="4">
        <v>0.33510000000000001</v>
      </c>
    </row>
    <row r="22" spans="1:27" x14ac:dyDescent="0.35">
      <c r="A22">
        <v>21</v>
      </c>
      <c r="B22">
        <v>2021</v>
      </c>
      <c r="C22" s="2" t="s">
        <v>21</v>
      </c>
      <c r="D22" s="2"/>
      <c r="E22">
        <v>2</v>
      </c>
      <c r="F22" t="s">
        <v>27</v>
      </c>
      <c r="G22">
        <v>3</v>
      </c>
      <c r="H22">
        <v>3</v>
      </c>
      <c r="I22" t="s">
        <v>25</v>
      </c>
      <c r="J22">
        <v>5.38</v>
      </c>
      <c r="K22">
        <v>54.844005584716797</v>
      </c>
      <c r="L22">
        <v>33.960292816162109</v>
      </c>
      <c r="M22">
        <v>11.195700645446777</v>
      </c>
      <c r="O22" t="s">
        <v>26</v>
      </c>
      <c r="P22" s="3">
        <v>0.32030000000000003</v>
      </c>
      <c r="Q22" s="3">
        <v>0.28029999999999999</v>
      </c>
      <c r="R22" s="3">
        <v>0.17170000000000002</v>
      </c>
      <c r="T22">
        <v>0.14603333333333329</v>
      </c>
      <c r="U22" s="4">
        <v>0.24190476182886714</v>
      </c>
      <c r="W22" s="4">
        <v>7.2</v>
      </c>
      <c r="X22" s="4">
        <v>0.32329999999999998</v>
      </c>
    </row>
    <row r="23" spans="1:27" x14ac:dyDescent="0.35">
      <c r="A23" s="11">
        <v>22</v>
      </c>
      <c r="B23" s="11">
        <v>2021</v>
      </c>
      <c r="C23" s="10" t="s">
        <v>21</v>
      </c>
      <c r="D23" s="10"/>
      <c r="E23" s="11">
        <v>2</v>
      </c>
      <c r="F23" s="11" t="s">
        <v>27</v>
      </c>
      <c r="G23" s="11">
        <v>4</v>
      </c>
      <c r="H23" s="11">
        <v>1</v>
      </c>
      <c r="I23" s="11" t="s">
        <v>23</v>
      </c>
      <c r="J23" s="11">
        <v>18.600000000000001</v>
      </c>
      <c r="K23" s="11">
        <v>58.75732421875</v>
      </c>
      <c r="L23" s="11">
        <v>30.450199127197266</v>
      </c>
      <c r="M23" s="11">
        <v>10.792475700378418</v>
      </c>
      <c r="N23" s="11" t="s">
        <v>38</v>
      </c>
      <c r="O23" s="11">
        <v>1.3125581792129157</v>
      </c>
      <c r="P23" s="12">
        <v>0.33460000000000001</v>
      </c>
      <c r="Q23" s="12">
        <v>0.26919999999999999</v>
      </c>
      <c r="R23" s="12">
        <v>0.13034999999999999</v>
      </c>
      <c r="S23" s="12">
        <v>3.1255676014627864</v>
      </c>
      <c r="T23" s="11">
        <v>0.218</v>
      </c>
      <c r="U23" s="13">
        <v>0.42721436870338309</v>
      </c>
      <c r="V23" s="11">
        <v>45.5</v>
      </c>
      <c r="W23" s="13">
        <v>7.64</v>
      </c>
      <c r="X23" s="13">
        <f>(0.3263929+0.3454)/2</f>
        <v>0.33589645000000001</v>
      </c>
      <c r="Y23">
        <f>(0.2621548+0.2734741)/2</f>
        <v>0.26781445000000004</v>
      </c>
      <c r="Z23" s="3">
        <f t="shared" ref="Z23:AA23" si="3">P23-X23</f>
        <v>-1.2964500000000045E-3</v>
      </c>
      <c r="AA23" s="3">
        <f t="shared" si="3"/>
        <v>1.3855499999999576E-3</v>
      </c>
    </row>
    <row r="24" spans="1:27" x14ac:dyDescent="0.35">
      <c r="A24" s="11">
        <v>23</v>
      </c>
      <c r="B24" s="11">
        <v>2021</v>
      </c>
      <c r="C24" s="10" t="s">
        <v>21</v>
      </c>
      <c r="D24" s="10"/>
      <c r="E24" s="11">
        <v>2</v>
      </c>
      <c r="F24" s="11" t="s">
        <v>27</v>
      </c>
      <c r="G24" s="11">
        <v>4</v>
      </c>
      <c r="H24" s="11">
        <v>2</v>
      </c>
      <c r="I24" s="11" t="s">
        <v>24</v>
      </c>
      <c r="J24" s="11">
        <v>18.79</v>
      </c>
      <c r="K24" s="11">
        <v>58.933830261230469</v>
      </c>
      <c r="L24" s="11">
        <v>30.218502044677734</v>
      </c>
      <c r="M24" s="11">
        <v>10.847667694091797</v>
      </c>
      <c r="N24" s="11" t="s">
        <v>38</v>
      </c>
      <c r="O24" s="11">
        <v>1.4425869047748245</v>
      </c>
      <c r="P24" s="12">
        <v>0.33335000000000004</v>
      </c>
      <c r="Q24" s="12">
        <v>0.24919999999999998</v>
      </c>
      <c r="R24" s="12">
        <v>0.17630000000000001</v>
      </c>
      <c r="S24" s="12">
        <v>2.2719672749312609</v>
      </c>
      <c r="T24" s="11">
        <v>0.1701333333333333</v>
      </c>
      <c r="U24" s="13">
        <v>0.32146074742085168</v>
      </c>
      <c r="V24" s="11">
        <v>7.25</v>
      </c>
      <c r="W24" s="13">
        <v>7.76</v>
      </c>
      <c r="X24" s="13">
        <f>(0.3209615+0.3557)/2</f>
        <v>0.33833075000000001</v>
      </c>
      <c r="Y24">
        <f>(0.2530333+0.252328)/2</f>
        <v>0.25268065000000001</v>
      </c>
      <c r="Z24" s="3">
        <f t="shared" ref="Z24:AA31" si="4">P24-X24</f>
        <v>-4.9807499999999783E-3</v>
      </c>
      <c r="AA24" s="3">
        <f t="shared" si="4"/>
        <v>-3.4806500000000296E-3</v>
      </c>
    </row>
    <row r="25" spans="1:27" x14ac:dyDescent="0.35">
      <c r="A25" s="11">
        <v>24</v>
      </c>
      <c r="B25" s="11">
        <v>2021</v>
      </c>
      <c r="C25" s="10" t="s">
        <v>21</v>
      </c>
      <c r="D25" s="10"/>
      <c r="E25" s="11">
        <v>2</v>
      </c>
      <c r="F25" s="11" t="s">
        <v>27</v>
      </c>
      <c r="G25" s="11">
        <v>4</v>
      </c>
      <c r="H25" s="11">
        <v>3</v>
      </c>
      <c r="I25" s="11" t="s">
        <v>25</v>
      </c>
      <c r="J25" s="11">
        <v>9.66</v>
      </c>
      <c r="K25" s="11">
        <v>55.0196533203125</v>
      </c>
      <c r="L25" s="11">
        <v>33.262775421142578</v>
      </c>
      <c r="M25" s="11">
        <v>11.717568397521973</v>
      </c>
      <c r="N25" s="11" t="s">
        <v>38</v>
      </c>
      <c r="O25" s="11">
        <v>1.5231559506648196</v>
      </c>
      <c r="P25" s="12">
        <v>0.31630000000000003</v>
      </c>
      <c r="Q25" s="12">
        <v>0.28129999999999999</v>
      </c>
      <c r="R25" s="12">
        <v>0.17404999999999998</v>
      </c>
      <c r="S25" s="12">
        <v>0</v>
      </c>
      <c r="T25" s="11">
        <v>0.18343333333333331</v>
      </c>
      <c r="U25" s="13">
        <v>0.22023328005257586</v>
      </c>
      <c r="V25" s="11">
        <v>24.25</v>
      </c>
      <c r="W25" s="13">
        <v>7.71</v>
      </c>
      <c r="X25" s="13">
        <f>(0.3507+0.286284)/2</f>
        <v>0.318492</v>
      </c>
      <c r="Y25">
        <f>(0.3040429+0.258092)/2</f>
        <v>0.28106745</v>
      </c>
      <c r="Z25" s="3">
        <f t="shared" si="4"/>
        <v>-2.1919999999999717E-3</v>
      </c>
      <c r="AA25" s="3">
        <f t="shared" si="4"/>
        <v>2.3254999999999804E-4</v>
      </c>
    </row>
    <row r="26" spans="1:27" x14ac:dyDescent="0.35">
      <c r="A26" s="11">
        <v>25</v>
      </c>
      <c r="B26" s="11">
        <v>2021</v>
      </c>
      <c r="C26" s="10" t="s">
        <v>21</v>
      </c>
      <c r="D26" s="10"/>
      <c r="E26" s="11">
        <v>4</v>
      </c>
      <c r="F26" s="11" t="s">
        <v>28</v>
      </c>
      <c r="G26" s="11">
        <v>1</v>
      </c>
      <c r="H26" s="11">
        <v>1</v>
      </c>
      <c r="I26" s="11" t="s">
        <v>23</v>
      </c>
      <c r="J26" s="11">
        <v>10.78</v>
      </c>
      <c r="K26" s="11">
        <v>60.597415924072266</v>
      </c>
      <c r="L26" s="11">
        <v>30.021015167236328</v>
      </c>
      <c r="M26" s="11">
        <v>9.3815670013427734</v>
      </c>
      <c r="N26" s="11" t="s">
        <v>38</v>
      </c>
      <c r="O26" s="11">
        <v>1.3456214933949993</v>
      </c>
      <c r="P26" s="12">
        <v>0.31730000000000003</v>
      </c>
      <c r="Q26" s="12">
        <v>0.26379999999999998</v>
      </c>
      <c r="R26" s="12">
        <v>0.1396</v>
      </c>
      <c r="S26" s="12">
        <v>1.1053508097248359</v>
      </c>
      <c r="T26" s="11">
        <v>0.245</v>
      </c>
      <c r="U26" s="13">
        <v>0.9020964816056839</v>
      </c>
      <c r="V26" s="11">
        <v>32.5</v>
      </c>
      <c r="W26" s="13">
        <v>7.78</v>
      </c>
      <c r="X26" s="13">
        <v>0.31675999999999999</v>
      </c>
      <c r="Y26">
        <v>0.2704338</v>
      </c>
      <c r="Z26" s="3">
        <f t="shared" si="4"/>
        <v>5.4000000000004045E-4</v>
      </c>
      <c r="AA26" s="3">
        <f t="shared" si="4"/>
        <v>-6.633800000000023E-3</v>
      </c>
    </row>
    <row r="27" spans="1:27" x14ac:dyDescent="0.35">
      <c r="A27" s="11">
        <v>26</v>
      </c>
      <c r="B27" s="11">
        <v>2021</v>
      </c>
      <c r="C27" s="10" t="s">
        <v>21</v>
      </c>
      <c r="D27" s="10"/>
      <c r="E27" s="11">
        <v>4</v>
      </c>
      <c r="F27" s="11" t="s">
        <v>28</v>
      </c>
      <c r="G27" s="11">
        <v>1</v>
      </c>
      <c r="H27" s="11">
        <v>2</v>
      </c>
      <c r="I27" s="11" t="s">
        <v>24</v>
      </c>
      <c r="J27" s="11">
        <v>11.47</v>
      </c>
      <c r="K27" s="11">
        <v>61.320465087890625</v>
      </c>
      <c r="L27" s="11">
        <v>28.339462280273438</v>
      </c>
      <c r="M27" s="11">
        <v>10.340073585510254</v>
      </c>
      <c r="N27" s="11" t="s">
        <v>38</v>
      </c>
      <c r="O27" s="11">
        <v>1.4370314763050722</v>
      </c>
      <c r="P27" s="12">
        <v>0.3664</v>
      </c>
      <c r="Q27" s="12">
        <v>0.33289999999999997</v>
      </c>
      <c r="R27" s="12">
        <v>0.18479999999999999</v>
      </c>
      <c r="S27" s="12">
        <v>1.0013484688118661</v>
      </c>
      <c r="T27" s="11">
        <v>0.16803333333333331</v>
      </c>
      <c r="U27" s="13">
        <v>1.4072284411132929</v>
      </c>
      <c r="V27" s="11">
        <v>12</v>
      </c>
      <c r="W27" s="13">
        <v>7.49</v>
      </c>
      <c r="X27" s="13">
        <v>0.36540709999999998</v>
      </c>
      <c r="Y27">
        <v>0.3352</v>
      </c>
      <c r="Z27" s="3">
        <f t="shared" si="4"/>
        <v>9.9290000000001877E-4</v>
      </c>
      <c r="AA27" s="3">
        <f t="shared" si="4"/>
        <v>-2.3000000000000242E-3</v>
      </c>
    </row>
    <row r="28" spans="1:27" x14ac:dyDescent="0.35">
      <c r="A28" s="11">
        <v>27</v>
      </c>
      <c r="B28" s="11">
        <v>2021</v>
      </c>
      <c r="C28" s="10" t="s">
        <v>21</v>
      </c>
      <c r="D28" s="10"/>
      <c r="E28" s="11">
        <v>4</v>
      </c>
      <c r="F28" s="11" t="s">
        <v>28</v>
      </c>
      <c r="G28" s="11">
        <v>1</v>
      </c>
      <c r="H28" s="11">
        <v>3</v>
      </c>
      <c r="I28" s="11" t="s">
        <v>25</v>
      </c>
      <c r="J28" s="11">
        <v>5.62</v>
      </c>
      <c r="K28" s="11">
        <v>49.611824035644531</v>
      </c>
      <c r="L28" s="11">
        <v>39.564048767089844</v>
      </c>
      <c r="M28" s="11">
        <v>10.824126243591309</v>
      </c>
      <c r="N28" s="11" t="s">
        <v>36</v>
      </c>
      <c r="O28" s="11">
        <v>1.4378744013175537</v>
      </c>
      <c r="P28" s="12">
        <v>0.3569</v>
      </c>
      <c r="Q28" s="12">
        <v>0.30680000000000002</v>
      </c>
      <c r="R28" s="12">
        <v>0.17079999999999998</v>
      </c>
      <c r="S28" s="12">
        <v>0</v>
      </c>
      <c r="T28" s="11">
        <v>0.1678</v>
      </c>
      <c r="U28" s="13">
        <v>1.3433822838902507</v>
      </c>
      <c r="V28" s="11">
        <v>45.25</v>
      </c>
      <c r="W28" s="13">
        <v>7.21</v>
      </c>
      <c r="X28" s="13">
        <v>0.36115000000000003</v>
      </c>
      <c r="Y28">
        <v>0.30845650000000002</v>
      </c>
      <c r="Z28" s="3">
        <f t="shared" si="4"/>
        <v>-4.2500000000000315E-3</v>
      </c>
      <c r="AA28" s="3">
        <f t="shared" si="4"/>
        <v>-1.6565000000000052E-3</v>
      </c>
    </row>
    <row r="29" spans="1:27" x14ac:dyDescent="0.35">
      <c r="A29" s="11">
        <v>28</v>
      </c>
      <c r="B29" s="11">
        <v>2021</v>
      </c>
      <c r="C29" s="10" t="s">
        <v>21</v>
      </c>
      <c r="D29" s="10"/>
      <c r="E29" s="11">
        <v>4</v>
      </c>
      <c r="F29" s="11" t="s">
        <v>28</v>
      </c>
      <c r="G29" s="11">
        <v>2</v>
      </c>
      <c r="H29" s="11">
        <v>1</v>
      </c>
      <c r="I29" s="11" t="s">
        <v>23</v>
      </c>
      <c r="J29" s="11">
        <v>13.31</v>
      </c>
      <c r="K29" s="11">
        <v>57.461757659912109</v>
      </c>
      <c r="L29" s="11">
        <v>31.610990524291992</v>
      </c>
      <c r="M29" s="11">
        <v>10.927255630493164</v>
      </c>
      <c r="N29" s="11" t="s">
        <v>38</v>
      </c>
      <c r="O29" s="11">
        <v>1.377466155682882</v>
      </c>
      <c r="P29" s="16">
        <v>0.2702</v>
      </c>
      <c r="Q29" s="16">
        <v>0.19620000000000001</v>
      </c>
      <c r="R29" s="16">
        <v>0.17550000000000002</v>
      </c>
      <c r="S29" s="14">
        <v>6.2126109811140964</v>
      </c>
      <c r="T29" s="11">
        <v>0.23300000000000001</v>
      </c>
      <c r="U29" s="13">
        <v>0.82598824473665533</v>
      </c>
      <c r="V29" s="11">
        <v>52.25</v>
      </c>
      <c r="W29" s="13">
        <v>7.78</v>
      </c>
      <c r="X29" s="13">
        <v>0.26269999999999999</v>
      </c>
      <c r="Y29">
        <v>0.20706669999999999</v>
      </c>
      <c r="Z29" s="3">
        <f t="shared" si="4"/>
        <v>7.5000000000000067E-3</v>
      </c>
      <c r="AA29" s="3">
        <f t="shared" si="4"/>
        <v>-1.0866699999999979E-2</v>
      </c>
    </row>
    <row r="30" spans="1:27" x14ac:dyDescent="0.35">
      <c r="A30" s="11">
        <v>29</v>
      </c>
      <c r="B30" s="11">
        <v>2021</v>
      </c>
      <c r="C30" s="10" t="s">
        <v>21</v>
      </c>
      <c r="D30" s="10"/>
      <c r="E30" s="11">
        <v>4</v>
      </c>
      <c r="F30" s="11" t="s">
        <v>28</v>
      </c>
      <c r="G30" s="11">
        <v>2</v>
      </c>
      <c r="H30" s="11">
        <v>2</v>
      </c>
      <c r="I30" s="11" t="s">
        <v>24</v>
      </c>
      <c r="J30" s="11">
        <v>12.22</v>
      </c>
      <c r="K30" s="11">
        <v>59.158973693847656</v>
      </c>
      <c r="L30" s="11">
        <v>30.630767822265625</v>
      </c>
      <c r="M30" s="11">
        <v>10.21025562286377</v>
      </c>
      <c r="N30" s="11" t="s">
        <v>38</v>
      </c>
      <c r="O30" s="11">
        <v>1.5370314763050723</v>
      </c>
      <c r="P30" s="12">
        <v>0.32390000000000002</v>
      </c>
      <c r="Q30" s="12">
        <v>0.28160000000000002</v>
      </c>
      <c r="R30" s="12">
        <v>0.1096</v>
      </c>
      <c r="S30" s="12">
        <v>0.27757074782620228</v>
      </c>
      <c r="T30" s="11">
        <v>0.15770000000000001</v>
      </c>
      <c r="U30" s="13">
        <v>1.0975188281330959</v>
      </c>
      <c r="V30" s="11">
        <v>72.75</v>
      </c>
      <c r="W30" s="13">
        <v>7.71</v>
      </c>
      <c r="X30" s="13">
        <v>0.31990000000000002</v>
      </c>
      <c r="Y30">
        <v>0.27950419999999998</v>
      </c>
      <c r="Z30" s="3">
        <f t="shared" si="4"/>
        <v>4.0000000000000036E-3</v>
      </c>
      <c r="AA30" s="3">
        <f t="shared" si="4"/>
        <v>2.0958000000000365E-3</v>
      </c>
    </row>
    <row r="31" spans="1:27" x14ac:dyDescent="0.35">
      <c r="A31" s="11">
        <v>30</v>
      </c>
      <c r="B31" s="11">
        <v>2021</v>
      </c>
      <c r="C31" s="10" t="s">
        <v>21</v>
      </c>
      <c r="D31" s="10"/>
      <c r="E31" s="11">
        <v>4</v>
      </c>
      <c r="F31" s="11" t="s">
        <v>28</v>
      </c>
      <c r="G31" s="11">
        <v>2</v>
      </c>
      <c r="H31" s="11">
        <v>3</v>
      </c>
      <c r="I31" s="11" t="s">
        <v>25</v>
      </c>
      <c r="J31" s="11">
        <v>5.2</v>
      </c>
      <c r="K31" s="11">
        <v>54.217952728271484</v>
      </c>
      <c r="L31" s="11">
        <v>34.524166107177734</v>
      </c>
      <c r="M31" s="11">
        <v>11.257880210876465</v>
      </c>
      <c r="N31" s="11" t="s">
        <v>38</v>
      </c>
      <c r="O31" s="11">
        <v>1.519755914837146</v>
      </c>
      <c r="P31" s="12">
        <v>0.31180000000000002</v>
      </c>
      <c r="Q31" s="12">
        <v>0.24530000000000002</v>
      </c>
      <c r="R31" s="12">
        <v>0.12089999999999999</v>
      </c>
      <c r="S31" s="12">
        <v>0.39769526086733975</v>
      </c>
      <c r="T31" s="11">
        <v>0.12963333333333329</v>
      </c>
      <c r="U31" s="13">
        <v>1.8480128165400493</v>
      </c>
      <c r="V31" s="11">
        <v>30.75</v>
      </c>
      <c r="W31" s="13">
        <v>7.36</v>
      </c>
      <c r="X31" s="13">
        <v>0.31330000000000002</v>
      </c>
      <c r="Y31">
        <v>0.2424308</v>
      </c>
      <c r="Z31" s="3">
        <f t="shared" si="4"/>
        <v>-1.5000000000000013E-3</v>
      </c>
      <c r="AA31" s="3">
        <f t="shared" si="4"/>
        <v>2.8692000000000162E-3</v>
      </c>
    </row>
    <row r="32" spans="1:27" x14ac:dyDescent="0.35">
      <c r="A32">
        <v>31</v>
      </c>
      <c r="B32">
        <v>2021</v>
      </c>
      <c r="C32" s="2" t="s">
        <v>21</v>
      </c>
      <c r="D32" s="2"/>
      <c r="E32">
        <v>4</v>
      </c>
      <c r="F32" t="s">
        <v>28</v>
      </c>
      <c r="G32">
        <v>3</v>
      </c>
      <c r="H32">
        <v>1</v>
      </c>
      <c r="I32" t="s">
        <v>23</v>
      </c>
      <c r="J32">
        <v>10.81</v>
      </c>
      <c r="K32">
        <v>58.680820465087891</v>
      </c>
      <c r="L32">
        <v>31.463230133056641</v>
      </c>
      <c r="M32">
        <v>9.8559513092041016</v>
      </c>
      <c r="O32" t="s">
        <v>26</v>
      </c>
      <c r="P32" s="3">
        <v>0.32390000000000002</v>
      </c>
      <c r="Q32" s="3">
        <v>0.28989999999999999</v>
      </c>
      <c r="R32" s="3">
        <v>0.2114</v>
      </c>
      <c r="T32">
        <v>0.17610000000000001</v>
      </c>
      <c r="U32" s="4">
        <v>0.9184505229764065</v>
      </c>
      <c r="W32" s="4">
        <v>7.72</v>
      </c>
      <c r="X32" s="4"/>
    </row>
    <row r="33" spans="1:27" x14ac:dyDescent="0.35">
      <c r="A33">
        <v>32</v>
      </c>
      <c r="B33">
        <v>2021</v>
      </c>
      <c r="C33" s="2" t="s">
        <v>21</v>
      </c>
      <c r="D33" s="2"/>
      <c r="E33">
        <v>4</v>
      </c>
      <c r="F33" t="s">
        <v>28</v>
      </c>
      <c r="G33">
        <v>3</v>
      </c>
      <c r="H33">
        <v>2</v>
      </c>
      <c r="I33" t="s">
        <v>24</v>
      </c>
      <c r="J33">
        <v>10.57</v>
      </c>
      <c r="K33">
        <v>59.531013488769531</v>
      </c>
      <c r="L33">
        <v>30.257186889648438</v>
      </c>
      <c r="M33">
        <v>10.211800575256348</v>
      </c>
      <c r="O33" t="s">
        <v>26</v>
      </c>
      <c r="P33" s="3">
        <v>0.30109999999999998</v>
      </c>
      <c r="Q33" s="3">
        <v>0.25329999999999997</v>
      </c>
      <c r="R33" s="3">
        <v>0.13170000000000001</v>
      </c>
      <c r="T33">
        <v>0.1356</v>
      </c>
      <c r="U33" s="4">
        <v>1.2214163273568106</v>
      </c>
      <c r="W33" s="4">
        <v>7.64</v>
      </c>
      <c r="X33" s="4"/>
    </row>
    <row r="34" spans="1:27" x14ac:dyDescent="0.35">
      <c r="A34">
        <v>33</v>
      </c>
      <c r="B34">
        <v>2021</v>
      </c>
      <c r="C34" s="2" t="s">
        <v>21</v>
      </c>
      <c r="D34" s="2"/>
      <c r="E34">
        <v>4</v>
      </c>
      <c r="F34" t="s">
        <v>28</v>
      </c>
      <c r="G34">
        <v>3</v>
      </c>
      <c r="H34">
        <v>3</v>
      </c>
      <c r="I34" t="s">
        <v>25</v>
      </c>
      <c r="J34">
        <v>3.68</v>
      </c>
      <c r="K34">
        <v>54.179706573486328</v>
      </c>
      <c r="L34">
        <v>34.644615173339844</v>
      </c>
      <c r="M34">
        <v>11.175682067871094</v>
      </c>
      <c r="O34" t="s">
        <v>26</v>
      </c>
      <c r="P34" s="3">
        <v>0.31989999999999996</v>
      </c>
      <c r="Q34" s="3">
        <v>0.26829999999999998</v>
      </c>
      <c r="R34" s="3">
        <v>0.1366</v>
      </c>
      <c r="T34">
        <v>0.15590000000000001</v>
      </c>
      <c r="U34" s="4">
        <v>1.3377728529658117</v>
      </c>
      <c r="W34" s="4">
        <v>7.25</v>
      </c>
      <c r="X34" s="4"/>
    </row>
    <row r="35" spans="1:27" x14ac:dyDescent="0.35">
      <c r="A35" s="11">
        <v>34</v>
      </c>
      <c r="B35" s="11">
        <v>2021</v>
      </c>
      <c r="C35" s="10" t="s">
        <v>21</v>
      </c>
      <c r="D35" s="10"/>
      <c r="E35" s="11">
        <v>4</v>
      </c>
      <c r="F35" s="11" t="s">
        <v>28</v>
      </c>
      <c r="G35" s="11">
        <v>4</v>
      </c>
      <c r="H35" s="11">
        <v>1</v>
      </c>
      <c r="I35" s="11" t="s">
        <v>23</v>
      </c>
      <c r="J35" s="11">
        <v>12.21</v>
      </c>
      <c r="K35" s="11">
        <v>58.068023681640625</v>
      </c>
      <c r="L35" s="11">
        <v>31.060722351074219</v>
      </c>
      <c r="M35" s="11">
        <v>10.87125301361084</v>
      </c>
      <c r="N35" s="11" t="s">
        <v>38</v>
      </c>
      <c r="O35" s="11">
        <v>1.3615438245389406</v>
      </c>
      <c r="P35" s="12">
        <v>0.23320000000000002</v>
      </c>
      <c r="Q35" s="12">
        <v>0.17435</v>
      </c>
      <c r="R35" s="12">
        <v>0.13084999999999999</v>
      </c>
      <c r="S35" s="12">
        <v>11.319871152503357</v>
      </c>
      <c r="T35" s="11">
        <v>0.15820000000000001</v>
      </c>
      <c r="U35" s="13">
        <v>0.78758566726300783</v>
      </c>
      <c r="V35" s="11">
        <v>8.75</v>
      </c>
      <c r="W35" s="13">
        <v>7.68</v>
      </c>
      <c r="X35" s="13">
        <v>0.23689687500000001</v>
      </c>
      <c r="Y35">
        <v>0.19560978021978001</v>
      </c>
      <c r="Z35" s="3">
        <f>P35-X35</f>
        <v>-3.6968749999999884E-3</v>
      </c>
      <c r="AA35" s="3">
        <f>Q35-Y35</f>
        <v>-2.1259780219780006E-2</v>
      </c>
    </row>
    <row r="36" spans="1:27" x14ac:dyDescent="0.35">
      <c r="A36" s="11">
        <v>35</v>
      </c>
      <c r="B36" s="11">
        <v>2021</v>
      </c>
      <c r="C36" s="10" t="s">
        <v>21</v>
      </c>
      <c r="D36" s="10"/>
      <c r="E36" s="11">
        <v>4</v>
      </c>
      <c r="F36" s="11" t="s">
        <v>28</v>
      </c>
      <c r="G36" s="11">
        <v>4</v>
      </c>
      <c r="H36" s="11">
        <v>2</v>
      </c>
      <c r="I36" s="11" t="s">
        <v>24</v>
      </c>
      <c r="J36" s="11">
        <v>13.88</v>
      </c>
      <c r="K36" s="11">
        <v>57.153785705566406</v>
      </c>
      <c r="L36" s="11">
        <v>31.752105712890625</v>
      </c>
      <c r="M36" s="11">
        <v>11.094108581542969</v>
      </c>
      <c r="N36" s="11" t="s">
        <v>38</v>
      </c>
      <c r="O36" s="11">
        <v>1.6370314763050724</v>
      </c>
      <c r="P36" s="12">
        <v>0.31115000000000004</v>
      </c>
      <c r="Q36" s="12">
        <v>0.26234999999999997</v>
      </c>
      <c r="R36" s="12">
        <v>0.15770000000000001</v>
      </c>
      <c r="S36" s="12">
        <v>0.43832980051882497</v>
      </c>
      <c r="T36" s="11">
        <v>0.152</v>
      </c>
      <c r="U36" s="13">
        <v>0.88826577315529731</v>
      </c>
      <c r="V36" s="11">
        <v>11.75</v>
      </c>
      <c r="W36" s="13">
        <v>7.47</v>
      </c>
      <c r="X36" s="13">
        <v>0.32771499999999998</v>
      </c>
      <c r="Y36">
        <v>0.27588706896551696</v>
      </c>
      <c r="Z36" s="3">
        <f>P36-X36</f>
        <v>-1.6564999999999941E-2</v>
      </c>
      <c r="AA36" s="3">
        <f>Q36-Y36</f>
        <v>-1.3537068965516985E-2</v>
      </c>
    </row>
    <row r="37" spans="1:27" x14ac:dyDescent="0.35">
      <c r="A37" s="11">
        <v>36</v>
      </c>
      <c r="B37" s="11">
        <v>2021</v>
      </c>
      <c r="C37" s="10" t="s">
        <v>21</v>
      </c>
      <c r="D37" s="10"/>
      <c r="E37" s="11">
        <v>4</v>
      </c>
      <c r="F37" s="11" t="s">
        <v>28</v>
      </c>
      <c r="G37" s="11">
        <v>4</v>
      </c>
      <c r="H37" s="11">
        <v>3</v>
      </c>
      <c r="I37" s="11" t="s">
        <v>25</v>
      </c>
      <c r="J37" s="11">
        <v>7.31</v>
      </c>
      <c r="K37" s="11">
        <v>56.967521667480469</v>
      </c>
      <c r="L37" s="11">
        <v>32.180812835693359</v>
      </c>
      <c r="M37" s="11">
        <v>10.851669311523438</v>
      </c>
      <c r="N37" s="11" t="s">
        <v>38</v>
      </c>
      <c r="O37" s="11">
        <v>1.4788151580773499</v>
      </c>
      <c r="P37" s="12">
        <v>0.28584999999999999</v>
      </c>
      <c r="Q37" s="12">
        <v>0.23244999999999999</v>
      </c>
      <c r="R37" s="12">
        <v>0.17054999999999998</v>
      </c>
      <c r="S37" s="12">
        <v>2.6961787131811992</v>
      </c>
      <c r="T37" s="11">
        <v>0.21</v>
      </c>
      <c r="U37" s="13">
        <v>0.49180942722531729</v>
      </c>
      <c r="V37" s="11">
        <v>16</v>
      </c>
      <c r="W37" s="13">
        <v>7.09</v>
      </c>
      <c r="X37" s="13">
        <v>0.3153094951923075</v>
      </c>
      <c r="Y37">
        <v>0.26759196428571452</v>
      </c>
      <c r="Z37" s="3">
        <f t="shared" ref="Z37:AA43" si="5">P37-X37</f>
        <v>-2.9459495192307505E-2</v>
      </c>
      <c r="AA37" s="3">
        <f t="shared" si="5"/>
        <v>-3.5141964285714533E-2</v>
      </c>
    </row>
    <row r="38" spans="1:27" x14ac:dyDescent="0.35">
      <c r="A38" s="11">
        <v>37</v>
      </c>
      <c r="B38" s="11">
        <v>2021</v>
      </c>
      <c r="C38" s="10" t="s">
        <v>21</v>
      </c>
      <c r="D38" s="10"/>
      <c r="E38" s="11">
        <v>6</v>
      </c>
      <c r="F38" s="11" t="s">
        <v>29</v>
      </c>
      <c r="G38" s="11">
        <v>1</v>
      </c>
      <c r="H38" s="11">
        <v>1</v>
      </c>
      <c r="I38" s="11" t="s">
        <v>23</v>
      </c>
      <c r="J38" s="11">
        <v>10.57</v>
      </c>
      <c r="K38" s="11">
        <v>63.801605224609375</v>
      </c>
      <c r="L38" s="11">
        <v>28.111522674560547</v>
      </c>
      <c r="M38" s="11">
        <v>8.0868759155273438</v>
      </c>
      <c r="N38" s="11" t="s">
        <v>38</v>
      </c>
      <c r="O38" s="11">
        <v>1.4029211848643399</v>
      </c>
      <c r="P38" s="12">
        <v>0.28190000000000004</v>
      </c>
      <c r="Q38" s="12">
        <v>0.20559999999999998</v>
      </c>
      <c r="R38" s="12">
        <v>0.20019999999999999</v>
      </c>
      <c r="S38" s="12">
        <v>5.8248153710254655</v>
      </c>
      <c r="T38" s="11">
        <v>0.13159999999999999</v>
      </c>
      <c r="U38" s="13">
        <v>0.63469197757970885</v>
      </c>
      <c r="V38" s="11">
        <v>36.25</v>
      </c>
      <c r="W38" s="13">
        <v>7.13</v>
      </c>
      <c r="X38" s="13">
        <v>0.28051999999999999</v>
      </c>
      <c r="Y38">
        <v>0.21590909090909099</v>
      </c>
      <c r="Z38" s="3">
        <f t="shared" si="5"/>
        <v>1.3800000000000479E-3</v>
      </c>
      <c r="AA38" s="3">
        <f t="shared" si="5"/>
        <v>-1.0309090909091018E-2</v>
      </c>
    </row>
    <row r="39" spans="1:27" x14ac:dyDescent="0.35">
      <c r="A39" s="11">
        <v>38</v>
      </c>
      <c r="B39" s="11">
        <v>2021</v>
      </c>
      <c r="C39" s="10" t="s">
        <v>21</v>
      </c>
      <c r="D39" s="10"/>
      <c r="E39" s="11">
        <v>6</v>
      </c>
      <c r="F39" s="11" t="s">
        <v>29</v>
      </c>
      <c r="G39" s="11">
        <v>1</v>
      </c>
      <c r="H39" s="11">
        <v>2</v>
      </c>
      <c r="I39" s="11" t="s">
        <v>24</v>
      </c>
      <c r="J39" s="11">
        <v>7.45</v>
      </c>
      <c r="K39" s="11">
        <v>65.577239990234375</v>
      </c>
      <c r="L39" s="11">
        <v>26.100770950317383</v>
      </c>
      <c r="M39" s="11">
        <v>8.3219852447509766</v>
      </c>
      <c r="N39" s="11" t="s">
        <v>38</v>
      </c>
      <c r="O39" s="11">
        <v>1.5128222862032394</v>
      </c>
      <c r="P39" s="12">
        <v>0.30570000000000003</v>
      </c>
      <c r="Q39" s="12">
        <v>0.25569999999999998</v>
      </c>
      <c r="R39" s="12">
        <v>0.13830000000000001</v>
      </c>
      <c r="S39" s="12">
        <v>0</v>
      </c>
      <c r="T39" s="11">
        <v>0.1226666666666667</v>
      </c>
      <c r="U39" s="13">
        <v>0.5731239600335335</v>
      </c>
      <c r="V39" s="11">
        <v>20.25</v>
      </c>
      <c r="W39" s="13">
        <v>7.13</v>
      </c>
      <c r="X39" s="13">
        <v>0.2959</v>
      </c>
      <c r="Y39">
        <v>0.262748648648649</v>
      </c>
      <c r="Z39" s="3">
        <f t="shared" si="5"/>
        <v>9.8000000000000309E-3</v>
      </c>
      <c r="AA39" s="3">
        <f t="shared" si="5"/>
        <v>-7.0486486486490141E-3</v>
      </c>
    </row>
    <row r="40" spans="1:27" x14ac:dyDescent="0.35">
      <c r="A40" s="11">
        <v>39</v>
      </c>
      <c r="B40" s="11">
        <v>2021</v>
      </c>
      <c r="C40" s="10" t="s">
        <v>21</v>
      </c>
      <c r="D40" s="10"/>
      <c r="E40" s="11">
        <v>6</v>
      </c>
      <c r="F40" s="11" t="s">
        <v>29</v>
      </c>
      <c r="G40" s="11">
        <v>1</v>
      </c>
      <c r="H40" s="11">
        <v>3</v>
      </c>
      <c r="I40" s="11" t="s">
        <v>25</v>
      </c>
      <c r="J40" s="11">
        <v>3.31</v>
      </c>
      <c r="K40" s="11">
        <v>72.70416259765625</v>
      </c>
      <c r="L40" s="11">
        <v>20.939275741577148</v>
      </c>
      <c r="M40" s="11">
        <v>6.3565659523010254</v>
      </c>
      <c r="N40" s="11" t="s">
        <v>38</v>
      </c>
      <c r="O40" s="11">
        <v>1.4188484672880644</v>
      </c>
      <c r="P40" s="12">
        <v>0.27479999999999999</v>
      </c>
      <c r="Q40" s="12">
        <v>0.20379999999999998</v>
      </c>
      <c r="R40" s="12">
        <v>0.1389</v>
      </c>
      <c r="S40" s="12">
        <v>0.30046966753860127</v>
      </c>
      <c r="T40" s="11">
        <v>0.10683333333333329</v>
      </c>
      <c r="U40" s="13">
        <v>0.64165993211058037</v>
      </c>
      <c r="V40" s="11">
        <v>10</v>
      </c>
      <c r="W40" s="13">
        <v>7.22</v>
      </c>
      <c r="X40" s="13">
        <v>0.27726666666666699</v>
      </c>
      <c r="Y40">
        <v>0.20614054054054101</v>
      </c>
      <c r="Z40" s="3">
        <f t="shared" si="5"/>
        <v>-2.4666666666670056E-3</v>
      </c>
      <c r="AA40" s="3">
        <f t="shared" si="5"/>
        <v>-2.3405405405410307E-3</v>
      </c>
    </row>
    <row r="41" spans="1:27" x14ac:dyDescent="0.35">
      <c r="A41" s="11">
        <v>40</v>
      </c>
      <c r="B41" s="11">
        <v>2021</v>
      </c>
      <c r="C41" s="10" t="s">
        <v>21</v>
      </c>
      <c r="D41" s="10"/>
      <c r="E41" s="11">
        <v>6</v>
      </c>
      <c r="F41" s="11" t="s">
        <v>29</v>
      </c>
      <c r="G41" s="11">
        <v>2</v>
      </c>
      <c r="H41" s="11">
        <v>1</v>
      </c>
      <c r="I41" s="11" t="s">
        <v>23</v>
      </c>
      <c r="J41" s="11">
        <v>10.86</v>
      </c>
      <c r="K41" s="11">
        <v>62.899982452392578</v>
      </c>
      <c r="L41" s="11">
        <v>29.757305145263672</v>
      </c>
      <c r="M41" s="11">
        <v>7.3427114486694336</v>
      </c>
      <c r="N41" s="11" t="s">
        <v>38</v>
      </c>
      <c r="O41" s="11">
        <v>1.3311040515866535</v>
      </c>
      <c r="P41" s="12">
        <v>0.2883</v>
      </c>
      <c r="Q41" s="12">
        <v>0.22109999999999999</v>
      </c>
      <c r="R41" s="12">
        <v>0.1971</v>
      </c>
      <c r="S41" s="12">
        <v>7.9326547076718645</v>
      </c>
      <c r="T41" s="11">
        <v>0.13800000000000001</v>
      </c>
      <c r="U41" s="13">
        <v>0.45916444757734626</v>
      </c>
      <c r="V41" s="11">
        <v>21.5</v>
      </c>
      <c r="W41" s="13">
        <v>7.33</v>
      </c>
      <c r="X41" s="13">
        <v>0.280409090909091</v>
      </c>
      <c r="Y41">
        <v>0.23528356164383599</v>
      </c>
      <c r="Z41" s="3">
        <f t="shared" si="5"/>
        <v>7.8909090909090041E-3</v>
      </c>
      <c r="AA41" s="3">
        <f t="shared" si="5"/>
        <v>-1.4183561643835996E-2</v>
      </c>
    </row>
    <row r="42" spans="1:27" x14ac:dyDescent="0.35">
      <c r="A42" s="11">
        <v>41</v>
      </c>
      <c r="B42" s="11">
        <v>2021</v>
      </c>
      <c r="C42" s="10" t="s">
        <v>21</v>
      </c>
      <c r="D42" s="10"/>
      <c r="E42" s="11">
        <v>6</v>
      </c>
      <c r="F42" s="11" t="s">
        <v>29</v>
      </c>
      <c r="G42" s="11">
        <v>2</v>
      </c>
      <c r="H42" s="11">
        <v>2</v>
      </c>
      <c r="I42" s="11" t="s">
        <v>24</v>
      </c>
      <c r="J42" s="11">
        <v>9.35</v>
      </c>
      <c r="K42" s="11">
        <v>61.568023681640625</v>
      </c>
      <c r="L42" s="11">
        <v>31.129899978637695</v>
      </c>
      <c r="M42" s="11">
        <v>7.3020753860473633</v>
      </c>
      <c r="N42" s="11" t="s">
        <v>38</v>
      </c>
      <c r="O42" s="11">
        <v>1.4268852424706528</v>
      </c>
      <c r="P42" s="12">
        <v>0.30079999999999996</v>
      </c>
      <c r="Q42" s="12">
        <v>0.26200000000000001</v>
      </c>
      <c r="R42" s="12">
        <v>0.12529999999999999</v>
      </c>
      <c r="S42" s="12">
        <v>1.636680852697477</v>
      </c>
      <c r="T42" s="11">
        <v>9.0866666666666679E-2</v>
      </c>
      <c r="U42" s="13">
        <v>0.77317761118440365</v>
      </c>
      <c r="V42" s="11">
        <v>14.5</v>
      </c>
      <c r="W42" s="13">
        <v>7.27</v>
      </c>
      <c r="X42" s="13">
        <v>0.30238571428571398</v>
      </c>
      <c r="Y42">
        <v>0.25918799999999997</v>
      </c>
      <c r="Z42" s="3">
        <f t="shared" si="5"/>
        <v>-1.5857142857140238E-3</v>
      </c>
      <c r="AA42" s="3">
        <f t="shared" si="5"/>
        <v>2.8120000000000367E-3</v>
      </c>
    </row>
    <row r="43" spans="1:27" x14ac:dyDescent="0.35">
      <c r="A43" s="11">
        <v>42</v>
      </c>
      <c r="B43" s="11">
        <v>2021</v>
      </c>
      <c r="C43" s="10" t="s">
        <v>21</v>
      </c>
      <c r="D43" s="10"/>
      <c r="E43" s="11">
        <v>6</v>
      </c>
      <c r="F43" s="11" t="s">
        <v>29</v>
      </c>
      <c r="G43" s="11">
        <v>2</v>
      </c>
      <c r="H43" s="11">
        <v>3</v>
      </c>
      <c r="I43" s="11" t="s">
        <v>25</v>
      </c>
      <c r="J43" s="11">
        <v>2.94</v>
      </c>
      <c r="K43" s="11">
        <v>51.00994873046875</v>
      </c>
      <c r="L43" s="11">
        <v>42.206813812255859</v>
      </c>
      <c r="M43" s="11">
        <v>6.7832379341125488</v>
      </c>
      <c r="N43" s="11" t="s">
        <v>38</v>
      </c>
      <c r="O43" s="11">
        <v>1.4268756041444925</v>
      </c>
      <c r="P43" s="12">
        <v>0.32579999999999998</v>
      </c>
      <c r="Q43" s="12">
        <v>0.25019999999999998</v>
      </c>
      <c r="R43" s="12">
        <v>0.11</v>
      </c>
      <c r="S43" s="12">
        <v>16.427550457776189</v>
      </c>
      <c r="T43" s="11">
        <v>0.10676666666666659</v>
      </c>
      <c r="U43" s="13">
        <v>0.75164008685686834</v>
      </c>
      <c r="V43" s="11">
        <v>27.5</v>
      </c>
      <c r="W43" s="13">
        <v>7.15</v>
      </c>
      <c r="X43" s="13">
        <v>0.32096538461538499</v>
      </c>
      <c r="Y43">
        <v>0.25201428571428602</v>
      </c>
      <c r="Z43" s="3">
        <f t="shared" si="5"/>
        <v>4.8346153846149931E-3</v>
      </c>
      <c r="AA43" s="3">
        <f t="shared" si="5"/>
        <v>-1.8142857142860458E-3</v>
      </c>
    </row>
    <row r="44" spans="1:27" x14ac:dyDescent="0.35">
      <c r="A44">
        <v>43</v>
      </c>
      <c r="B44">
        <v>2021</v>
      </c>
      <c r="C44" s="2" t="s">
        <v>21</v>
      </c>
      <c r="D44" s="2"/>
      <c r="E44">
        <v>6</v>
      </c>
      <c r="F44" t="s">
        <v>29</v>
      </c>
      <c r="G44">
        <v>3</v>
      </c>
      <c r="H44">
        <v>1</v>
      </c>
      <c r="I44" t="s">
        <v>23</v>
      </c>
      <c r="J44">
        <v>10.39</v>
      </c>
      <c r="K44">
        <v>62.64105224609375</v>
      </c>
      <c r="L44">
        <v>30.115888595581055</v>
      </c>
      <c r="M44">
        <v>7.2430620193481445</v>
      </c>
      <c r="O44" t="s">
        <v>26</v>
      </c>
      <c r="P44" s="3">
        <v>0.32899999999999996</v>
      </c>
      <c r="Q44" s="3">
        <v>0.27179999999999999</v>
      </c>
      <c r="R44" s="3">
        <v>0.12279999999999999</v>
      </c>
      <c r="T44">
        <v>9.3399999999999997E-2</v>
      </c>
      <c r="U44" s="4">
        <v>0.62019267022737534</v>
      </c>
      <c r="V44">
        <v>47.5</v>
      </c>
      <c r="W44" s="4">
        <v>7.22</v>
      </c>
      <c r="X44" s="4">
        <v>0.32706153846153802</v>
      </c>
    </row>
    <row r="45" spans="1:27" x14ac:dyDescent="0.35">
      <c r="A45">
        <v>44</v>
      </c>
      <c r="B45">
        <v>2021</v>
      </c>
      <c r="C45" s="2" t="s">
        <v>21</v>
      </c>
      <c r="D45" s="2"/>
      <c r="E45">
        <v>6</v>
      </c>
      <c r="F45" t="s">
        <v>29</v>
      </c>
      <c r="G45">
        <v>3</v>
      </c>
      <c r="H45">
        <v>2</v>
      </c>
      <c r="I45" t="s">
        <v>24</v>
      </c>
      <c r="J45">
        <v>9.48</v>
      </c>
      <c r="K45">
        <v>63.416511535644531</v>
      </c>
      <c r="L45">
        <v>30.036968231201172</v>
      </c>
      <c r="M45">
        <v>6.5465188026428223</v>
      </c>
      <c r="O45" t="s">
        <v>26</v>
      </c>
      <c r="P45" s="3">
        <v>0.27050000000000002</v>
      </c>
      <c r="Q45" s="3">
        <v>0.21890000000000001</v>
      </c>
      <c r="R45" s="3">
        <v>0.1052</v>
      </c>
      <c r="T45">
        <v>0.1318666666666666</v>
      </c>
      <c r="U45" s="4">
        <v>0.65416229258037117</v>
      </c>
      <c r="V45">
        <v>51.25</v>
      </c>
      <c r="W45" s="4">
        <v>7.61</v>
      </c>
      <c r="X45" s="4">
        <v>0.27208888888888899</v>
      </c>
    </row>
    <row r="46" spans="1:27" x14ac:dyDescent="0.35">
      <c r="A46">
        <v>45</v>
      </c>
      <c r="B46">
        <v>2021</v>
      </c>
      <c r="C46" s="2" t="s">
        <v>21</v>
      </c>
      <c r="D46" s="2"/>
      <c r="E46">
        <v>6</v>
      </c>
      <c r="F46" t="s">
        <v>29</v>
      </c>
      <c r="G46">
        <v>3</v>
      </c>
      <c r="H46">
        <v>3</v>
      </c>
      <c r="I46" t="s">
        <v>25</v>
      </c>
      <c r="J46">
        <v>5.81</v>
      </c>
      <c r="K46">
        <v>67.561859130859375</v>
      </c>
      <c r="L46">
        <v>26.025951385498047</v>
      </c>
      <c r="M46">
        <v>6.4121909141540527</v>
      </c>
      <c r="O46" t="s">
        <v>26</v>
      </c>
      <c r="P46" s="3">
        <v>0.20519999999999999</v>
      </c>
      <c r="Q46" s="3">
        <v>0.1191</v>
      </c>
      <c r="R46" s="3">
        <v>0.10920000000000001</v>
      </c>
      <c r="T46">
        <v>0.12503333333333341</v>
      </c>
      <c r="U46" s="4">
        <v>0.70922251966578043</v>
      </c>
      <c r="V46">
        <v>1</v>
      </c>
      <c r="W46" s="4">
        <v>7.05</v>
      </c>
      <c r="X46" s="4">
        <v>0.205044444444444</v>
      </c>
    </row>
    <row r="47" spans="1:27" x14ac:dyDescent="0.35">
      <c r="A47" s="11">
        <v>46</v>
      </c>
      <c r="B47" s="11">
        <v>2021</v>
      </c>
      <c r="C47" s="10" t="s">
        <v>21</v>
      </c>
      <c r="D47" s="10"/>
      <c r="E47" s="11">
        <v>6</v>
      </c>
      <c r="F47" s="11" t="s">
        <v>29</v>
      </c>
      <c r="G47" s="11">
        <v>4</v>
      </c>
      <c r="H47" s="11">
        <v>1</v>
      </c>
      <c r="I47" s="11" t="s">
        <v>23</v>
      </c>
      <c r="J47" s="11">
        <v>10.44</v>
      </c>
      <c r="K47" s="11">
        <v>62.109611511230469</v>
      </c>
      <c r="L47" s="11">
        <v>30.618494033813477</v>
      </c>
      <c r="M47" s="11">
        <v>7.2718920707702637</v>
      </c>
      <c r="N47" s="11" t="s">
        <v>38</v>
      </c>
      <c r="O47" s="11">
        <v>1.3696779332017699</v>
      </c>
      <c r="P47" s="12">
        <v>0.24859999999999999</v>
      </c>
      <c r="Q47" s="12">
        <v>0.1867</v>
      </c>
      <c r="R47" s="12">
        <v>0.14949999999999999</v>
      </c>
      <c r="S47" s="11">
        <v>16.908319349153835</v>
      </c>
      <c r="T47" s="11">
        <v>0.1062333333333333</v>
      </c>
      <c r="U47" s="13">
        <v>0.55577813506105633</v>
      </c>
      <c r="V47" s="11">
        <v>33.75</v>
      </c>
      <c r="W47" s="13">
        <v>7.27</v>
      </c>
      <c r="X47" s="13">
        <v>0.243582352941176</v>
      </c>
      <c r="Y47">
        <v>0.19847846153846199</v>
      </c>
      <c r="Z47" s="3">
        <f t="shared" ref="Z47:AA55" si="6">P47-X47</f>
        <v>5.0176470588239874E-3</v>
      </c>
      <c r="AA47" s="3">
        <f t="shared" si="6"/>
        <v>-1.1778461538461987E-2</v>
      </c>
    </row>
    <row r="48" spans="1:27" x14ac:dyDescent="0.35">
      <c r="A48" s="11">
        <v>47</v>
      </c>
      <c r="B48" s="11">
        <v>2021</v>
      </c>
      <c r="C48" s="10" t="s">
        <v>21</v>
      </c>
      <c r="D48" s="10"/>
      <c r="E48" s="11">
        <v>6</v>
      </c>
      <c r="F48" s="11" t="s">
        <v>29</v>
      </c>
      <c r="G48" s="11">
        <v>4</v>
      </c>
      <c r="H48" s="11">
        <v>2</v>
      </c>
      <c r="I48" s="11" t="s">
        <v>24</v>
      </c>
      <c r="J48" s="11">
        <v>8.1999999999999993</v>
      </c>
      <c r="K48" s="11">
        <v>61.514778137207031</v>
      </c>
      <c r="L48" s="11">
        <v>31.173030853271484</v>
      </c>
      <c r="M48" s="11">
        <v>7.3121919631958008</v>
      </c>
      <c r="N48" s="11" t="s">
        <v>38</v>
      </c>
      <c r="O48" s="11">
        <v>1.463033830784461</v>
      </c>
      <c r="P48" s="12">
        <v>0.28989999999999999</v>
      </c>
      <c r="Q48" s="12">
        <v>0.22719999999999999</v>
      </c>
      <c r="R48" s="12">
        <v>0.13200000000000001</v>
      </c>
      <c r="S48" s="11">
        <v>3.8658784134865445</v>
      </c>
      <c r="T48" s="11">
        <v>9.9000000000000005E-2</v>
      </c>
      <c r="U48" s="13">
        <v>0.76992725579858767</v>
      </c>
      <c r="V48" s="11">
        <v>27.25</v>
      </c>
      <c r="W48" s="13">
        <v>6.93</v>
      </c>
      <c r="X48" s="13">
        <v>0.29017777777777798</v>
      </c>
      <c r="Y48">
        <v>0.22652162162162201</v>
      </c>
      <c r="Z48" s="3">
        <f t="shared" si="6"/>
        <v>-2.7777777777798773E-4</v>
      </c>
      <c r="AA48" s="3">
        <f t="shared" si="6"/>
        <v>6.783783783779751E-4</v>
      </c>
    </row>
    <row r="49" spans="1:27" x14ac:dyDescent="0.35">
      <c r="A49" s="11">
        <v>48</v>
      </c>
      <c r="B49" s="11">
        <v>2021</v>
      </c>
      <c r="C49" s="10" t="s">
        <v>21</v>
      </c>
      <c r="D49" s="10"/>
      <c r="E49" s="11">
        <v>6</v>
      </c>
      <c r="F49" s="11" t="s">
        <v>29</v>
      </c>
      <c r="G49" s="11">
        <v>4</v>
      </c>
      <c r="H49" s="11">
        <v>3</v>
      </c>
      <c r="I49" s="11" t="s">
        <v>25</v>
      </c>
      <c r="J49" s="11">
        <v>3.24</v>
      </c>
      <c r="K49" s="11">
        <v>56.120441436767578</v>
      </c>
      <c r="L49" s="11">
        <v>37.070659637451172</v>
      </c>
      <c r="M49" s="11">
        <v>6.8088970184326172</v>
      </c>
      <c r="N49" s="11" t="s">
        <v>38</v>
      </c>
      <c r="O49" s="11">
        <v>1.4776559578047344</v>
      </c>
      <c r="P49" s="12">
        <v>0.30430000000000001</v>
      </c>
      <c r="Q49" s="12">
        <v>0.24719999999999998</v>
      </c>
      <c r="R49" s="12">
        <v>0.1108</v>
      </c>
      <c r="S49" s="11">
        <v>0.18771571645853355</v>
      </c>
      <c r="T49" s="11">
        <v>0.13766666666666669</v>
      </c>
      <c r="U49" s="13">
        <v>0.70622990525601137</v>
      </c>
      <c r="V49" s="11">
        <v>103.5</v>
      </c>
      <c r="W49" s="13">
        <v>6.89</v>
      </c>
      <c r="X49" s="13">
        <v>0.30487619047619002</v>
      </c>
      <c r="Y49">
        <v>0.24380689655172399</v>
      </c>
      <c r="Z49" s="3">
        <f t="shared" si="6"/>
        <v>-5.7619047619000829E-4</v>
      </c>
      <c r="AA49" s="3">
        <f t="shared" si="6"/>
        <v>3.3931034482759803E-3</v>
      </c>
    </row>
    <row r="50" spans="1:27" x14ac:dyDescent="0.35">
      <c r="A50" s="11">
        <v>49</v>
      </c>
      <c r="B50" s="11">
        <v>2021</v>
      </c>
      <c r="C50" s="10" t="s">
        <v>21</v>
      </c>
      <c r="D50" s="10"/>
      <c r="E50" s="11">
        <v>8</v>
      </c>
      <c r="F50" s="11" t="s">
        <v>30</v>
      </c>
      <c r="G50" s="11">
        <v>1</v>
      </c>
      <c r="H50" s="11">
        <v>1</v>
      </c>
      <c r="I50" s="11" t="s">
        <v>23</v>
      </c>
      <c r="J50" s="11">
        <v>8.75</v>
      </c>
      <c r="K50" s="11">
        <v>66.584732055664063</v>
      </c>
      <c r="L50" s="11">
        <v>24.965431213378906</v>
      </c>
      <c r="M50" s="11">
        <v>8.4498386383056641</v>
      </c>
      <c r="N50" s="11" t="s">
        <v>38</v>
      </c>
      <c r="O50" s="11">
        <v>1.3803347024930064</v>
      </c>
      <c r="P50" s="12">
        <v>0.28570000000000001</v>
      </c>
      <c r="Q50" s="12">
        <v>0.2248</v>
      </c>
      <c r="R50" s="12">
        <v>0.19320000000000001</v>
      </c>
      <c r="S50" s="11">
        <v>27.323065395630991</v>
      </c>
      <c r="T50" s="11">
        <v>0.2273333333333333</v>
      </c>
      <c r="U50" s="13">
        <v>0.84339373480730417</v>
      </c>
      <c r="V50" s="11">
        <v>22.25</v>
      </c>
      <c r="W50" s="13">
        <v>7.83</v>
      </c>
      <c r="X50" s="13">
        <v>0.27412500000000001</v>
      </c>
      <c r="Y50">
        <v>0.235164705882353</v>
      </c>
      <c r="Z50" s="3">
        <f t="shared" si="6"/>
        <v>1.1575000000000002E-2</v>
      </c>
      <c r="AA50" s="3">
        <f t="shared" si="6"/>
        <v>-1.0364705882352998E-2</v>
      </c>
    </row>
    <row r="51" spans="1:27" ht="13.75" customHeight="1" x14ac:dyDescent="0.35">
      <c r="A51" s="11">
        <v>50</v>
      </c>
      <c r="B51" s="11">
        <v>2021</v>
      </c>
      <c r="C51" s="10" t="s">
        <v>21</v>
      </c>
      <c r="D51" s="10"/>
      <c r="E51" s="11">
        <v>8</v>
      </c>
      <c r="F51" s="11" t="s">
        <v>30</v>
      </c>
      <c r="G51" s="11">
        <v>1</v>
      </c>
      <c r="H51" s="11">
        <v>2</v>
      </c>
      <c r="I51" s="11" t="s">
        <v>24</v>
      </c>
      <c r="J51" s="11">
        <v>8.52</v>
      </c>
      <c r="K51" s="11">
        <v>68.065689086914063</v>
      </c>
      <c r="L51" s="11">
        <v>24.330900192260742</v>
      </c>
      <c r="M51" s="11">
        <v>7.6034064292907715</v>
      </c>
      <c r="N51" s="11" t="s">
        <v>38</v>
      </c>
      <c r="O51" s="11">
        <v>1.5793517392368124</v>
      </c>
      <c r="P51" s="12">
        <v>0.27300000000000002</v>
      </c>
      <c r="Q51" s="12">
        <v>0.21890000000000001</v>
      </c>
      <c r="R51" s="12">
        <v>0.13550000000000001</v>
      </c>
      <c r="S51" s="11">
        <v>0</v>
      </c>
      <c r="T51" s="11">
        <v>0.1759</v>
      </c>
      <c r="U51" s="13">
        <v>1.3510563025802058</v>
      </c>
      <c r="V51" s="11">
        <v>40.5</v>
      </c>
      <c r="W51" s="13">
        <v>7.88</v>
      </c>
      <c r="X51" s="13">
        <v>0.26425454545454502</v>
      </c>
      <c r="Y51">
        <v>0.226536734693878</v>
      </c>
      <c r="Z51" s="3">
        <f t="shared" si="6"/>
        <v>8.7454545454550003E-3</v>
      </c>
      <c r="AA51" s="3">
        <f t="shared" si="6"/>
        <v>-7.636734693877989E-3</v>
      </c>
    </row>
    <row r="52" spans="1:27" x14ac:dyDescent="0.35">
      <c r="A52">
        <v>51</v>
      </c>
      <c r="B52">
        <v>2021</v>
      </c>
      <c r="C52" s="2" t="s">
        <v>21</v>
      </c>
      <c r="D52" s="2"/>
      <c r="E52">
        <v>8</v>
      </c>
      <c r="F52" t="s">
        <v>30</v>
      </c>
      <c r="G52">
        <v>1</v>
      </c>
      <c r="H52">
        <v>3</v>
      </c>
      <c r="I52" t="s">
        <v>25</v>
      </c>
      <c r="J52">
        <v>7.26</v>
      </c>
      <c r="K52">
        <v>70.269859313964844</v>
      </c>
      <c r="L52">
        <v>23.250495910644531</v>
      </c>
      <c r="M52">
        <v>6.4796462059020996</v>
      </c>
      <c r="O52">
        <v>1.4304324727546642</v>
      </c>
      <c r="P52" s="3" t="s">
        <v>35</v>
      </c>
      <c r="Q52" s="3" t="s">
        <v>35</v>
      </c>
      <c r="R52" s="3" t="s">
        <v>35</v>
      </c>
      <c r="S52">
        <v>1.4600456028898723</v>
      </c>
      <c r="T52">
        <v>0.17573333333333341</v>
      </c>
      <c r="U52" s="4">
        <v>2.333199133241969</v>
      </c>
      <c r="V52">
        <v>7.5</v>
      </c>
      <c r="W52" s="4">
        <v>7.5</v>
      </c>
      <c r="X52" s="4">
        <v>0.1918</v>
      </c>
    </row>
    <row r="53" spans="1:27" x14ac:dyDescent="0.35">
      <c r="A53" s="11">
        <v>52</v>
      </c>
      <c r="B53" s="11">
        <v>2021</v>
      </c>
      <c r="C53" s="10" t="s">
        <v>21</v>
      </c>
      <c r="D53" s="10"/>
      <c r="E53" s="11">
        <v>8</v>
      </c>
      <c r="F53" s="11" t="s">
        <v>30</v>
      </c>
      <c r="G53" s="11">
        <v>2</v>
      </c>
      <c r="H53" s="11">
        <v>1</v>
      </c>
      <c r="I53" s="11" t="s">
        <v>23</v>
      </c>
      <c r="J53" s="11">
        <v>9.76</v>
      </c>
      <c r="K53" s="11">
        <v>66.884895324707031</v>
      </c>
      <c r="L53" s="11">
        <v>25.502433776855469</v>
      </c>
      <c r="M53" s="11">
        <v>7.6126675605773926</v>
      </c>
      <c r="N53" s="11" t="s">
        <v>38</v>
      </c>
      <c r="O53" s="11">
        <v>1.3348068438747391</v>
      </c>
      <c r="P53" s="12">
        <v>0.26774999999999999</v>
      </c>
      <c r="Q53" s="12">
        <v>0.22325</v>
      </c>
      <c r="R53" s="12">
        <v>0.11699999999999999</v>
      </c>
      <c r="S53" s="11">
        <v>0.15642976371544459</v>
      </c>
      <c r="T53" s="11">
        <v>0.13353333333333331</v>
      </c>
      <c r="U53" s="13">
        <v>1.1027551980398167</v>
      </c>
      <c r="V53" s="11">
        <v>40</v>
      </c>
      <c r="W53" s="13">
        <v>7.59</v>
      </c>
      <c r="X53" s="13">
        <v>0.26498877005347599</v>
      </c>
      <c r="Y53">
        <v>0.2257795708955225</v>
      </c>
      <c r="Z53" s="3">
        <f t="shared" si="6"/>
        <v>2.761229946524002E-3</v>
      </c>
      <c r="AA53" s="3">
        <f t="shared" si="6"/>
        <v>-2.5295708955224983E-3</v>
      </c>
    </row>
    <row r="54" spans="1:27" x14ac:dyDescent="0.35">
      <c r="A54" s="11">
        <v>53</v>
      </c>
      <c r="B54" s="11">
        <v>2021</v>
      </c>
      <c r="C54" s="10" t="s">
        <v>21</v>
      </c>
      <c r="D54" s="10"/>
      <c r="E54" s="11">
        <v>8</v>
      </c>
      <c r="F54" s="11" t="s">
        <v>30</v>
      </c>
      <c r="G54" s="11">
        <v>2</v>
      </c>
      <c r="H54" s="11">
        <v>2</v>
      </c>
      <c r="I54" s="11" t="s">
        <v>24</v>
      </c>
      <c r="J54" s="11">
        <v>8.6199999999999992</v>
      </c>
      <c r="K54" s="11">
        <v>69.587310791015625</v>
      </c>
      <c r="L54" s="11">
        <v>23.098243713378906</v>
      </c>
      <c r="M54" s="11">
        <v>7.3144440650939941</v>
      </c>
      <c r="N54" s="11" t="s">
        <v>38</v>
      </c>
      <c r="O54" s="11">
        <v>1.4755177629887315</v>
      </c>
      <c r="P54" s="12">
        <v>0.28520000000000001</v>
      </c>
      <c r="Q54" s="12">
        <v>0.22144999999999998</v>
      </c>
      <c r="R54" s="12">
        <v>0.14155000000000001</v>
      </c>
      <c r="S54" s="11">
        <v>2.4028556188284536</v>
      </c>
      <c r="T54" s="11">
        <v>0.12620000000000001</v>
      </c>
      <c r="U54" s="13">
        <v>1.7291703108380341</v>
      </c>
      <c r="V54" s="11">
        <v>28.25</v>
      </c>
      <c r="W54" s="13">
        <v>7.46</v>
      </c>
      <c r="X54" s="13">
        <v>0.28092874493927145</v>
      </c>
      <c r="Y54">
        <v>0.2274594871794875</v>
      </c>
      <c r="Z54" s="3">
        <f t="shared" si="6"/>
        <v>4.2712550607285626E-3</v>
      </c>
      <c r="AA54" s="3">
        <f t="shared" si="6"/>
        <v>-6.009487179487516E-3</v>
      </c>
    </row>
    <row r="55" spans="1:27" x14ac:dyDescent="0.35">
      <c r="A55" s="11">
        <v>54</v>
      </c>
      <c r="B55" s="11">
        <v>2021</v>
      </c>
      <c r="C55" s="10" t="s">
        <v>21</v>
      </c>
      <c r="D55" s="10"/>
      <c r="E55" s="11">
        <v>8</v>
      </c>
      <c r="F55" s="11" t="s">
        <v>30</v>
      </c>
      <c r="G55" s="11">
        <v>2</v>
      </c>
      <c r="H55" s="11">
        <v>3</v>
      </c>
      <c r="I55" s="11" t="s">
        <v>25</v>
      </c>
      <c r="J55" s="11">
        <v>2.2799999999999998</v>
      </c>
      <c r="K55" s="11">
        <v>83.618766784667969</v>
      </c>
      <c r="L55" s="11">
        <v>10.052122116088867</v>
      </c>
      <c r="M55" s="11">
        <v>6.3291139602661133</v>
      </c>
      <c r="N55" s="11" t="s">
        <v>37</v>
      </c>
      <c r="O55" s="11">
        <v>1.4100359325892098</v>
      </c>
      <c r="P55" s="12">
        <v>0.21650000000000003</v>
      </c>
      <c r="Q55" s="12">
        <v>0.14265</v>
      </c>
      <c r="R55" s="12">
        <v>0.1212</v>
      </c>
      <c r="S55" s="11">
        <v>1.0038622313143279</v>
      </c>
      <c r="T55" s="11">
        <v>8.8066666666666668E-2</v>
      </c>
      <c r="U55" s="13">
        <v>1.5602315677301506</v>
      </c>
      <c r="V55" s="11">
        <v>9.5</v>
      </c>
      <c r="W55" s="13">
        <v>7.45</v>
      </c>
      <c r="X55" s="13">
        <v>0.212979411764706</v>
      </c>
      <c r="Y55">
        <v>0.14347559170500102</v>
      </c>
      <c r="Z55" s="3">
        <f t="shared" si="6"/>
        <v>3.5205882352940254E-3</v>
      </c>
      <c r="AA55" s="3">
        <f t="shared" si="6"/>
        <v>-8.2559170500101642E-4</v>
      </c>
    </row>
    <row r="56" spans="1:27" x14ac:dyDescent="0.35">
      <c r="A56">
        <v>55</v>
      </c>
      <c r="B56">
        <v>2021</v>
      </c>
      <c r="C56" s="2" t="s">
        <v>21</v>
      </c>
      <c r="D56" s="2"/>
      <c r="E56">
        <v>8</v>
      </c>
      <c r="F56" t="s">
        <v>30</v>
      </c>
      <c r="G56">
        <v>3</v>
      </c>
      <c r="H56">
        <v>1</v>
      </c>
      <c r="I56" t="s">
        <v>23</v>
      </c>
      <c r="J56">
        <v>8.6999999999999993</v>
      </c>
      <c r="K56">
        <v>66.027481079101563</v>
      </c>
      <c r="L56">
        <v>26.423072814941406</v>
      </c>
      <c r="M56">
        <v>7.5494489669799805</v>
      </c>
      <c r="O56" t="s">
        <v>26</v>
      </c>
      <c r="P56" s="3">
        <v>0.28809999999999997</v>
      </c>
      <c r="Q56" s="3">
        <v>0.23879999999999998</v>
      </c>
      <c r="R56" s="3">
        <v>0.182</v>
      </c>
      <c r="T56">
        <v>0.1532</v>
      </c>
      <c r="U56" s="4">
        <v>1.1739438659632873</v>
      </c>
      <c r="W56" s="4">
        <v>7.69</v>
      </c>
      <c r="X56" s="4">
        <v>0.28212352941176499</v>
      </c>
    </row>
    <row r="57" spans="1:27" x14ac:dyDescent="0.35">
      <c r="A57">
        <v>56</v>
      </c>
      <c r="B57">
        <v>2021</v>
      </c>
      <c r="C57" s="2" t="s">
        <v>21</v>
      </c>
      <c r="D57" s="2"/>
      <c r="E57">
        <v>8</v>
      </c>
      <c r="F57" t="s">
        <v>30</v>
      </c>
      <c r="G57">
        <v>3</v>
      </c>
      <c r="H57">
        <v>2</v>
      </c>
      <c r="I57" t="s">
        <v>24</v>
      </c>
      <c r="J57">
        <v>8.64</v>
      </c>
      <c r="K57">
        <v>66.94342041015625</v>
      </c>
      <c r="L57">
        <v>25.753381729125977</v>
      </c>
      <c r="M57">
        <v>7.3031978607177734</v>
      </c>
      <c r="O57" t="s">
        <v>26</v>
      </c>
      <c r="P57" s="3">
        <v>0.29260000000000003</v>
      </c>
      <c r="Q57" s="3">
        <v>0.25290000000000001</v>
      </c>
      <c r="R57" s="3">
        <v>0.1525</v>
      </c>
      <c r="T57">
        <v>0.13320000000000001</v>
      </c>
      <c r="U57" s="4">
        <v>1.3310290389564017</v>
      </c>
      <c r="W57" s="4">
        <v>7.57</v>
      </c>
      <c r="X57" s="4">
        <v>0.291426829268293</v>
      </c>
    </row>
    <row r="58" spans="1:27" x14ac:dyDescent="0.35">
      <c r="A58">
        <v>57</v>
      </c>
      <c r="B58">
        <v>2021</v>
      </c>
      <c r="C58" s="2" t="s">
        <v>21</v>
      </c>
      <c r="D58" s="2"/>
      <c r="E58">
        <v>8</v>
      </c>
      <c r="F58" t="s">
        <v>30</v>
      </c>
      <c r="G58">
        <v>3</v>
      </c>
      <c r="H58">
        <v>3</v>
      </c>
      <c r="I58" t="s">
        <v>25</v>
      </c>
      <c r="J58">
        <v>2.5499999999999998</v>
      </c>
      <c r="K58">
        <v>76.090850830078125</v>
      </c>
      <c r="L58">
        <v>13.822474479675293</v>
      </c>
      <c r="M58">
        <v>10.086670875549316</v>
      </c>
      <c r="O58" t="s">
        <v>26</v>
      </c>
      <c r="P58" s="3">
        <v>0.28820000000000001</v>
      </c>
      <c r="Q58" s="3">
        <v>0.22539999999999999</v>
      </c>
      <c r="R58" s="3">
        <v>0.15909999999999999</v>
      </c>
      <c r="T58">
        <v>0.19106666666666669</v>
      </c>
      <c r="U58" s="4">
        <v>0.96066556079217125</v>
      </c>
      <c r="W58" s="4">
        <v>6.91</v>
      </c>
      <c r="X58" s="4">
        <v>0.28412307692307698</v>
      </c>
    </row>
    <row r="59" spans="1:27" x14ac:dyDescent="0.35">
      <c r="A59" s="11">
        <v>58</v>
      </c>
      <c r="B59" s="11">
        <v>2021</v>
      </c>
      <c r="C59" s="10" t="s">
        <v>21</v>
      </c>
      <c r="D59" s="10"/>
      <c r="E59" s="11">
        <v>8</v>
      </c>
      <c r="F59" s="11" t="s">
        <v>30</v>
      </c>
      <c r="G59" s="11">
        <v>4</v>
      </c>
      <c r="H59" s="11">
        <v>1</v>
      </c>
      <c r="I59" s="11" t="s">
        <v>23</v>
      </c>
      <c r="J59" s="11">
        <v>9.75</v>
      </c>
      <c r="K59" s="11">
        <v>65.988990783691406</v>
      </c>
      <c r="L59" s="11">
        <v>27.132375717163086</v>
      </c>
      <c r="M59" s="11">
        <v>6.8786301612854004</v>
      </c>
      <c r="N59" s="11" t="s">
        <v>38</v>
      </c>
      <c r="O59" s="11">
        <v>1.2892789852564719</v>
      </c>
      <c r="P59" s="12">
        <v>0.26400000000000001</v>
      </c>
      <c r="Q59" s="12">
        <v>0.20800000000000002</v>
      </c>
      <c r="R59" s="12">
        <v>0.14679999999999999</v>
      </c>
      <c r="S59" s="11">
        <v>22.758295909686971</v>
      </c>
      <c r="T59" s="11">
        <v>0.15476666666666669</v>
      </c>
      <c r="U59" s="13">
        <v>1.4257770834198085</v>
      </c>
      <c r="V59" s="11">
        <v>25.75</v>
      </c>
      <c r="W59" s="13">
        <v>7.52</v>
      </c>
      <c r="X59" s="13">
        <v>0.26339090909090901</v>
      </c>
      <c r="Y59">
        <v>0.21127499999999999</v>
      </c>
      <c r="Z59" s="3">
        <f t="shared" ref="Z59:AA61" si="7">P59-X59</f>
        <v>6.090909090910035E-4</v>
      </c>
      <c r="AA59" s="3">
        <f t="shared" si="7"/>
        <v>-3.2749999999999724E-3</v>
      </c>
    </row>
    <row r="60" spans="1:27" x14ac:dyDescent="0.35">
      <c r="A60" s="11">
        <v>59</v>
      </c>
      <c r="B60" s="11">
        <v>2021</v>
      </c>
      <c r="C60" s="10" t="s">
        <v>21</v>
      </c>
      <c r="D60" s="10"/>
      <c r="E60" s="11">
        <v>8</v>
      </c>
      <c r="F60" s="11" t="s">
        <v>30</v>
      </c>
      <c r="G60" s="11">
        <v>4</v>
      </c>
      <c r="H60" s="11">
        <v>2</v>
      </c>
      <c r="I60" s="11" t="s">
        <v>24</v>
      </c>
      <c r="J60" s="11">
        <v>8.49</v>
      </c>
      <c r="K60" s="11">
        <v>66.641395568847656</v>
      </c>
      <c r="L60" s="11">
        <v>26.156179428100586</v>
      </c>
      <c r="M60" s="11">
        <v>7.2024259567260742</v>
      </c>
      <c r="N60" s="11" t="s">
        <v>38</v>
      </c>
      <c r="O60" s="11">
        <v>1.3716837867406506</v>
      </c>
      <c r="P60" s="12">
        <v>0.26400000000000001</v>
      </c>
      <c r="Q60" s="12">
        <v>0.20783499999999999</v>
      </c>
      <c r="R60" s="12">
        <v>0.14680000000000001</v>
      </c>
      <c r="S60" s="11">
        <v>1.2777946577108383</v>
      </c>
      <c r="T60" s="11">
        <v>0.1464</v>
      </c>
      <c r="U60" s="13">
        <v>1.8648170686763637</v>
      </c>
      <c r="V60" s="11">
        <v>15</v>
      </c>
      <c r="W60" s="13">
        <v>7.28</v>
      </c>
      <c r="X60" s="13">
        <v>0.26339090909090901</v>
      </c>
      <c r="Y60">
        <v>0.21127499999999999</v>
      </c>
      <c r="Z60" s="3">
        <f t="shared" si="7"/>
        <v>6.090909090910035E-4</v>
      </c>
      <c r="AA60" s="3">
        <f t="shared" si="7"/>
        <v>-3.4399999999999986E-3</v>
      </c>
    </row>
    <row r="61" spans="1:27" x14ac:dyDescent="0.35">
      <c r="A61" s="11">
        <v>60</v>
      </c>
      <c r="B61" s="11">
        <v>2021</v>
      </c>
      <c r="C61" s="10" t="s">
        <v>21</v>
      </c>
      <c r="D61" s="10"/>
      <c r="E61" s="11">
        <v>8</v>
      </c>
      <c r="F61" s="11" t="s">
        <v>30</v>
      </c>
      <c r="G61" s="11">
        <v>4</v>
      </c>
      <c r="H61" s="11">
        <v>3</v>
      </c>
      <c r="I61" s="11" t="s">
        <v>25</v>
      </c>
      <c r="J61" s="11">
        <v>2.5</v>
      </c>
      <c r="K61" s="11">
        <v>79.8687744140625</v>
      </c>
      <c r="L61" s="11">
        <v>14.539217948913574</v>
      </c>
      <c r="M61" s="11">
        <v>5.5920071601867676</v>
      </c>
      <c r="N61" s="11" t="s">
        <v>37</v>
      </c>
      <c r="O61" s="11">
        <v>1.3896393924237553</v>
      </c>
      <c r="P61" s="12">
        <v>0.15179999999999999</v>
      </c>
      <c r="Q61" s="12">
        <v>6.6299999999999998E-2</v>
      </c>
      <c r="R61" s="12">
        <v>5.57E-2</v>
      </c>
      <c r="S61" s="11">
        <v>2.9617368596790845</v>
      </c>
      <c r="T61" s="11">
        <v>0.23899999999999999</v>
      </c>
      <c r="U61" s="13">
        <v>1.0475316188150259</v>
      </c>
      <c r="V61" s="11">
        <v>6.25</v>
      </c>
      <c r="W61" s="13">
        <v>6.9</v>
      </c>
      <c r="X61" s="13">
        <v>0.147166666666667</v>
      </c>
      <c r="Y61">
        <v>7.2814893617021301E-2</v>
      </c>
      <c r="Z61" s="3">
        <f t="shared" si="7"/>
        <v>4.6333333333329896E-3</v>
      </c>
      <c r="AA61" s="3">
        <f t="shared" si="7"/>
        <v>-6.5148936170213029E-3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F402-A3F3-4576-92DE-8F53CA6FAA9A}">
  <dimension ref="A1:AB42"/>
  <sheetViews>
    <sheetView tabSelected="1" topLeftCell="A13" workbookViewId="0">
      <selection activeCell="B2" sqref="B2:B42"/>
    </sheetView>
  </sheetViews>
  <sheetFormatPr defaultRowHeight="14.5" x14ac:dyDescent="0.35"/>
  <cols>
    <col min="4" max="4" width="13.36328125" customWidth="1"/>
    <col min="5" max="5" width="16.36328125" customWidth="1"/>
    <col min="7" max="7" width="20" customWidth="1"/>
    <col min="15" max="15" width="15.36328125" customWidth="1"/>
    <col min="17" max="19" width="8.7265625" style="3"/>
    <col min="26" max="26" width="10.1796875" customWidth="1"/>
    <col min="27" max="27" width="8.7265625" style="3"/>
    <col min="28" max="28" width="16.54296875" style="3" customWidth="1"/>
  </cols>
  <sheetData>
    <row r="1" spans="1:28" s="6" customFormat="1" x14ac:dyDescent="0.35">
      <c r="A1" s="1" t="s">
        <v>0</v>
      </c>
      <c r="B1" s="1" t="s">
        <v>41</v>
      </c>
      <c r="C1" s="1" t="s">
        <v>1</v>
      </c>
      <c r="D1" s="5" t="s">
        <v>2</v>
      </c>
      <c r="E1" s="5" t="s">
        <v>40</v>
      </c>
      <c r="F1" s="1" t="s">
        <v>3</v>
      </c>
      <c r="G1" s="5" t="s">
        <v>4</v>
      </c>
      <c r="H1" s="1" t="s">
        <v>5</v>
      </c>
      <c r="I1" s="1" t="s">
        <v>6</v>
      </c>
      <c r="J1" s="1" t="s">
        <v>7</v>
      </c>
      <c r="K1" s="6" t="s">
        <v>8</v>
      </c>
      <c r="L1" s="1" t="s">
        <v>9</v>
      </c>
      <c r="M1" s="1" t="s">
        <v>10</v>
      </c>
      <c r="N1" s="1" t="s">
        <v>11</v>
      </c>
      <c r="O1" s="1" t="s">
        <v>39</v>
      </c>
      <c r="P1" s="7" t="s">
        <v>18</v>
      </c>
      <c r="Q1" s="9" t="s">
        <v>12</v>
      </c>
      <c r="R1" s="9" t="s">
        <v>13</v>
      </c>
      <c r="S1" s="9" t="s">
        <v>14</v>
      </c>
      <c r="T1" s="7" t="s">
        <v>20</v>
      </c>
      <c r="U1" s="1" t="s">
        <v>15</v>
      </c>
      <c r="V1" s="8" t="s">
        <v>16</v>
      </c>
      <c r="W1" s="9" t="s">
        <v>19</v>
      </c>
      <c r="X1" s="8" t="s">
        <v>17</v>
      </c>
      <c r="Y1" s="8" t="s">
        <v>31</v>
      </c>
      <c r="Z1" s="6" t="s">
        <v>32</v>
      </c>
      <c r="AA1" s="9" t="s">
        <v>33</v>
      </c>
      <c r="AB1" s="9" t="s">
        <v>34</v>
      </c>
    </row>
    <row r="2" spans="1:28" x14ac:dyDescent="0.35">
      <c r="A2" s="11">
        <v>4</v>
      </c>
      <c r="B2" s="11">
        <v>1</v>
      </c>
      <c r="C2" s="11">
        <v>2021</v>
      </c>
      <c r="D2" s="10" t="s">
        <v>21</v>
      </c>
      <c r="E2" s="10"/>
      <c r="F2" s="11">
        <v>0</v>
      </c>
      <c r="G2" s="11" t="s">
        <v>22</v>
      </c>
      <c r="H2" s="11">
        <v>2</v>
      </c>
      <c r="I2" s="11">
        <v>1</v>
      </c>
      <c r="J2" s="11" t="s">
        <v>23</v>
      </c>
      <c r="K2" s="11">
        <v>19.12</v>
      </c>
      <c r="L2" s="11">
        <v>58.430458068847656</v>
      </c>
      <c r="M2" s="11">
        <v>30.691532135009766</v>
      </c>
      <c r="N2" s="11">
        <v>10.878010749816895</v>
      </c>
      <c r="O2" s="11" t="s">
        <v>38</v>
      </c>
      <c r="P2" s="11">
        <v>1.1488508696120199</v>
      </c>
      <c r="Q2" s="12">
        <v>0.31259999999999999</v>
      </c>
      <c r="R2" s="12">
        <v>0.26769999999999999</v>
      </c>
      <c r="S2" s="12">
        <v>0.16800000000000001</v>
      </c>
      <c r="T2" s="12">
        <v>28.257534164755437</v>
      </c>
      <c r="U2" s="11">
        <v>0.13156666666666669</v>
      </c>
      <c r="V2" s="13">
        <v>0.26770642154385271</v>
      </c>
      <c r="W2" s="11">
        <v>7.25</v>
      </c>
      <c r="X2" s="13">
        <v>7.61</v>
      </c>
      <c r="Y2" s="13">
        <v>0.30106919999999998</v>
      </c>
      <c r="Z2">
        <v>0.27115470000000003</v>
      </c>
      <c r="AA2" s="3">
        <f t="shared" ref="AA2:AB4" si="0">Q2-Y2</f>
        <v>1.1530800000000008E-2</v>
      </c>
      <c r="AB2" s="3">
        <f t="shared" si="0"/>
        <v>-3.4547000000000327E-3</v>
      </c>
    </row>
    <row r="3" spans="1:28" x14ac:dyDescent="0.35">
      <c r="A3" s="11">
        <v>5</v>
      </c>
      <c r="B3" s="11">
        <v>2</v>
      </c>
      <c r="C3" s="11">
        <v>2021</v>
      </c>
      <c r="D3" s="10" t="s">
        <v>21</v>
      </c>
      <c r="E3" s="10"/>
      <c r="F3" s="11">
        <v>0</v>
      </c>
      <c r="G3" s="11" t="s">
        <v>22</v>
      </c>
      <c r="H3" s="11">
        <v>2</v>
      </c>
      <c r="I3" s="11">
        <v>2</v>
      </c>
      <c r="J3" s="11" t="s">
        <v>24</v>
      </c>
      <c r="K3" s="11">
        <v>18.97</v>
      </c>
      <c r="L3" s="11">
        <v>58.326957702636719</v>
      </c>
      <c r="M3" s="11">
        <v>30.203395843505859</v>
      </c>
      <c r="N3" s="11">
        <v>11.469643592834473</v>
      </c>
      <c r="O3" s="11" t="s">
        <v>38</v>
      </c>
      <c r="P3" s="11">
        <v>1.38883896768686</v>
      </c>
      <c r="Q3" s="12">
        <v>0.30859999999999999</v>
      </c>
      <c r="R3" s="12">
        <v>0.27629999999999999</v>
      </c>
      <c r="S3" s="12">
        <v>0.19539999999999999</v>
      </c>
      <c r="T3" s="12">
        <v>7.0931541128541422</v>
      </c>
      <c r="U3" s="11">
        <v>0.12653333333333339</v>
      </c>
      <c r="V3" s="13">
        <v>0.1396943930252299</v>
      </c>
      <c r="W3" s="11">
        <v>20.25</v>
      </c>
      <c r="X3" s="13">
        <v>7.58</v>
      </c>
      <c r="Y3" s="13">
        <v>0.30785950000000001</v>
      </c>
      <c r="Z3">
        <v>0.28164440000000002</v>
      </c>
      <c r="AA3" s="3">
        <f t="shared" si="0"/>
        <v>7.4049999999997729E-4</v>
      </c>
      <c r="AB3" s="3">
        <f t="shared" si="0"/>
        <v>-5.3444000000000269E-3</v>
      </c>
    </row>
    <row r="4" spans="1:28" x14ac:dyDescent="0.35">
      <c r="A4" s="11">
        <v>6</v>
      </c>
      <c r="B4" s="11">
        <v>3</v>
      </c>
      <c r="C4" s="11">
        <v>2021</v>
      </c>
      <c r="D4" s="10" t="s">
        <v>21</v>
      </c>
      <c r="E4" s="10"/>
      <c r="F4" s="11">
        <v>0</v>
      </c>
      <c r="G4" s="11" t="s">
        <v>22</v>
      </c>
      <c r="H4" s="11">
        <v>2</v>
      </c>
      <c r="I4" s="11">
        <v>3</v>
      </c>
      <c r="J4" s="11" t="s">
        <v>25</v>
      </c>
      <c r="K4" s="11">
        <v>16.989999999999998</v>
      </c>
      <c r="L4" s="11">
        <v>57.414451599121094</v>
      </c>
      <c r="M4" s="11">
        <v>31.939163208007813</v>
      </c>
      <c r="N4" s="11">
        <v>10.646388053894043</v>
      </c>
      <c r="O4" s="11" t="s">
        <v>38</v>
      </c>
      <c r="P4" s="11">
        <v>1.43868852959923</v>
      </c>
      <c r="Q4" s="12">
        <v>0.30859999999999999</v>
      </c>
      <c r="R4" s="12">
        <v>0.26929999999999998</v>
      </c>
      <c r="S4" s="12">
        <v>0.158</v>
      </c>
      <c r="T4" s="12">
        <v>1.1235742325097244</v>
      </c>
      <c r="U4" s="11">
        <v>0.1204333333333333</v>
      </c>
      <c r="V4" s="13">
        <v>0.29423929967543755</v>
      </c>
      <c r="W4" s="11">
        <v>24.75</v>
      </c>
      <c r="X4" s="13">
        <v>7.57</v>
      </c>
      <c r="Y4" s="13">
        <v>0.31095</v>
      </c>
      <c r="Z4">
        <v>0.26902730000000002</v>
      </c>
      <c r="AA4" s="3">
        <f t="shared" si="0"/>
        <v>-2.3500000000000187E-3</v>
      </c>
      <c r="AB4" s="3">
        <f t="shared" si="0"/>
        <v>2.7269999999995909E-4</v>
      </c>
    </row>
    <row r="5" spans="1:28" x14ac:dyDescent="0.35">
      <c r="A5" s="11">
        <v>10</v>
      </c>
      <c r="B5" s="11">
        <v>4</v>
      </c>
      <c r="C5" s="11">
        <v>2021</v>
      </c>
      <c r="D5" s="10" t="s">
        <v>21</v>
      </c>
      <c r="E5" s="10"/>
      <c r="F5" s="11">
        <v>0</v>
      </c>
      <c r="G5" s="11" t="s">
        <v>22</v>
      </c>
      <c r="H5" s="11">
        <v>4</v>
      </c>
      <c r="I5" s="11">
        <v>1</v>
      </c>
      <c r="J5" s="11" t="s">
        <v>23</v>
      </c>
      <c r="K5" s="11">
        <v>16.55</v>
      </c>
      <c r="L5" s="11">
        <v>59.471977233886719</v>
      </c>
      <c r="M5" s="11">
        <v>30.106529235839844</v>
      </c>
      <c r="N5" s="11">
        <v>10.421491622924805</v>
      </c>
      <c r="O5" s="11" t="s">
        <v>38</v>
      </c>
      <c r="P5" s="11">
        <v>1.3488508696120201</v>
      </c>
      <c r="Q5" s="12">
        <v>0.29809999999999998</v>
      </c>
      <c r="R5" s="12">
        <v>0.23019999999999999</v>
      </c>
      <c r="S5" s="12">
        <v>0.16399999999999998</v>
      </c>
      <c r="T5" s="12">
        <v>5.5480422864411025</v>
      </c>
      <c r="U5" s="11">
        <v>0.12436666666666669</v>
      </c>
      <c r="V5" s="13">
        <v>0.14214256663785912</v>
      </c>
      <c r="W5" s="11">
        <v>19.25</v>
      </c>
      <c r="X5" s="13">
        <v>7.61</v>
      </c>
      <c r="Y5" s="11">
        <v>0.29470000000000002</v>
      </c>
      <c r="Z5" s="15">
        <v>0.23418</v>
      </c>
      <c r="AA5" s="3">
        <f t="shared" ref="AA5:AB13" si="1">Q5-Y5</f>
        <v>3.3999999999999586E-3</v>
      </c>
      <c r="AB5" s="3">
        <f t="shared" si="1"/>
        <v>-3.9800000000000113E-3</v>
      </c>
    </row>
    <row r="6" spans="1:28" x14ac:dyDescent="0.35">
      <c r="A6" s="11">
        <v>11</v>
      </c>
      <c r="B6" s="11">
        <v>5</v>
      </c>
      <c r="C6" s="11">
        <v>2021</v>
      </c>
      <c r="D6" s="10" t="s">
        <v>21</v>
      </c>
      <c r="E6" s="10"/>
      <c r="F6" s="11">
        <v>0</v>
      </c>
      <c r="G6" s="11" t="s">
        <v>22</v>
      </c>
      <c r="H6" s="11">
        <v>4</v>
      </c>
      <c r="I6" s="11">
        <v>2</v>
      </c>
      <c r="J6" s="11" t="s">
        <v>24</v>
      </c>
      <c r="K6" s="11">
        <v>16.309999999999999</v>
      </c>
      <c r="L6" s="11">
        <v>59.312145233154297</v>
      </c>
      <c r="M6" s="11">
        <v>30.323966979980469</v>
      </c>
      <c r="N6" s="11">
        <v>10.363887786865234</v>
      </c>
      <c r="O6" s="11" t="s">
        <v>38</v>
      </c>
      <c r="P6" s="11">
        <v>1.5888389676868602</v>
      </c>
      <c r="Q6" s="12">
        <v>0.34960000000000002</v>
      </c>
      <c r="R6" s="12">
        <v>0.29449999999999998</v>
      </c>
      <c r="S6" s="12">
        <v>0.16219999999999998</v>
      </c>
      <c r="T6" s="12">
        <v>2.0066301661223012</v>
      </c>
      <c r="U6" s="11">
        <v>0.1248666666666667</v>
      </c>
      <c r="V6" s="13">
        <v>0.26354952003844218</v>
      </c>
      <c r="W6" s="11">
        <v>17.5</v>
      </c>
      <c r="X6" s="13">
        <v>7.64</v>
      </c>
      <c r="Y6" s="13">
        <v>0.3528</v>
      </c>
      <c r="Z6">
        <v>0.29455930000000002</v>
      </c>
      <c r="AA6" s="3">
        <f t="shared" si="1"/>
        <v>-3.1999999999999806E-3</v>
      </c>
      <c r="AB6" s="3">
        <f t="shared" si="1"/>
        <v>-5.9300000000039876E-5</v>
      </c>
    </row>
    <row r="7" spans="1:28" x14ac:dyDescent="0.35">
      <c r="A7" s="11">
        <v>12</v>
      </c>
      <c r="B7" s="11">
        <v>6</v>
      </c>
      <c r="C7" s="11">
        <v>2021</v>
      </c>
      <c r="D7" s="10" t="s">
        <v>21</v>
      </c>
      <c r="E7" s="10"/>
      <c r="F7" s="11">
        <v>0</v>
      </c>
      <c r="G7" s="11" t="s">
        <v>22</v>
      </c>
      <c r="H7" s="11">
        <v>4</v>
      </c>
      <c r="I7" s="11">
        <v>3</v>
      </c>
      <c r="J7" s="11" t="s">
        <v>25</v>
      </c>
      <c r="K7" s="11">
        <v>17.739999999999998</v>
      </c>
      <c r="L7" s="11">
        <v>55.495357513427734</v>
      </c>
      <c r="M7" s="11">
        <v>32.894737243652344</v>
      </c>
      <c r="N7" s="11">
        <v>11.609907150268555</v>
      </c>
      <c r="O7" s="11" t="s">
        <v>38</v>
      </c>
      <c r="P7" s="11">
        <v>1.6386885295992302</v>
      </c>
      <c r="Q7" s="12">
        <v>0.44969999999999999</v>
      </c>
      <c r="R7" s="12">
        <v>0.38590000000000002</v>
      </c>
      <c r="S7" s="12">
        <v>0.23079999999999998</v>
      </c>
      <c r="T7" s="12">
        <v>6.3831742509389472E-2</v>
      </c>
      <c r="U7" s="11">
        <v>0.11546666666666661</v>
      </c>
      <c r="V7" s="13">
        <v>0.25070489529410583</v>
      </c>
      <c r="W7" s="11">
        <v>62.25</v>
      </c>
      <c r="X7" s="13">
        <v>7.51</v>
      </c>
      <c r="Y7" s="13">
        <v>0.45187500000000003</v>
      </c>
      <c r="Z7" s="4">
        <v>0.38290000000000002</v>
      </c>
      <c r="AA7" s="3">
        <f t="shared" si="1"/>
        <v>-2.175000000000038E-3</v>
      </c>
      <c r="AB7" s="3">
        <f t="shared" si="1"/>
        <v>3.0000000000000027E-3</v>
      </c>
    </row>
    <row r="8" spans="1:28" x14ac:dyDescent="0.35">
      <c r="A8" s="11">
        <v>13</v>
      </c>
      <c r="B8" s="11">
        <v>7</v>
      </c>
      <c r="C8" s="11">
        <v>2021</v>
      </c>
      <c r="D8" s="10" t="s">
        <v>21</v>
      </c>
      <c r="E8" s="10"/>
      <c r="F8" s="11">
        <v>2</v>
      </c>
      <c r="G8" s="11" t="s">
        <v>27</v>
      </c>
      <c r="H8" s="11">
        <v>1</v>
      </c>
      <c r="I8" s="11">
        <v>1</v>
      </c>
      <c r="J8" s="11" t="s">
        <v>23</v>
      </c>
      <c r="K8" s="11">
        <v>13.59</v>
      </c>
      <c r="L8" s="11">
        <v>59.467727661132813</v>
      </c>
      <c r="M8" s="11">
        <v>30.590396881103516</v>
      </c>
      <c r="N8" s="11">
        <v>9.9418783187866211</v>
      </c>
      <c r="O8" s="11" t="s">
        <v>38</v>
      </c>
      <c r="P8" s="11">
        <v>1.2767041576522467</v>
      </c>
      <c r="Q8" s="12">
        <v>0.29559999999999997</v>
      </c>
      <c r="R8" s="12">
        <v>0.25329999999999997</v>
      </c>
      <c r="S8" s="12">
        <v>0.15990000000000001</v>
      </c>
      <c r="T8" s="12">
        <v>12.494268699043584</v>
      </c>
      <c r="U8" s="11">
        <v>0.1864666666666667</v>
      </c>
      <c r="V8" s="13">
        <v>0.35902466870703492</v>
      </c>
      <c r="W8" s="11">
        <v>16.5</v>
      </c>
      <c r="X8" s="13">
        <v>7.75</v>
      </c>
      <c r="Y8" s="13">
        <v>0.3012455</v>
      </c>
      <c r="Z8">
        <v>0.2578396</v>
      </c>
      <c r="AA8" s="3">
        <f t="shared" si="1"/>
        <v>-5.6455000000000255E-3</v>
      </c>
      <c r="AB8" s="3">
        <f t="shared" si="1"/>
        <v>-4.5396000000000325E-3</v>
      </c>
    </row>
    <row r="9" spans="1:28" x14ac:dyDescent="0.35">
      <c r="A9" s="11">
        <v>14</v>
      </c>
      <c r="B9" s="11">
        <v>8</v>
      </c>
      <c r="C9" s="11">
        <v>2021</v>
      </c>
      <c r="D9" s="10" t="s">
        <v>21</v>
      </c>
      <c r="E9" s="10"/>
      <c r="F9" s="11">
        <v>2</v>
      </c>
      <c r="G9" s="11" t="s">
        <v>27</v>
      </c>
      <c r="H9" s="11">
        <v>1</v>
      </c>
      <c r="I9" s="11">
        <v>2</v>
      </c>
      <c r="J9" s="11" t="s">
        <v>24</v>
      </c>
      <c r="K9" s="11">
        <v>24.58</v>
      </c>
      <c r="L9" s="11">
        <v>59.799755096435547</v>
      </c>
      <c r="M9" s="11">
        <v>29.96055793762207</v>
      </c>
      <c r="N9" s="11">
        <v>10.239684104919434</v>
      </c>
      <c r="O9" s="11" t="s">
        <v>38</v>
      </c>
      <c r="P9" s="11">
        <v>1.3065527270421087</v>
      </c>
      <c r="Q9" s="12">
        <v>0.26679999999999998</v>
      </c>
      <c r="R9" s="12">
        <v>0.21429999999999999</v>
      </c>
      <c r="S9" s="12">
        <v>0.16140000000000002</v>
      </c>
      <c r="T9" s="12">
        <v>0.7618448737357898</v>
      </c>
      <c r="U9" s="11">
        <v>0.13519999999999999</v>
      </c>
      <c r="V9" s="13">
        <v>0.33396132177018251</v>
      </c>
      <c r="W9" s="11">
        <v>9.75</v>
      </c>
      <c r="X9" s="13">
        <v>7.52</v>
      </c>
      <c r="Y9" s="13">
        <v>0.2655941</v>
      </c>
      <c r="Z9">
        <v>0.22107499999999999</v>
      </c>
      <c r="AA9" s="3">
        <f t="shared" si="1"/>
        <v>1.205899999999982E-3</v>
      </c>
      <c r="AB9" s="3">
        <f t="shared" si="1"/>
        <v>-6.7750000000000032E-3</v>
      </c>
    </row>
    <row r="10" spans="1:28" x14ac:dyDescent="0.35">
      <c r="A10" s="11">
        <v>15</v>
      </c>
      <c r="B10" s="11">
        <v>9</v>
      </c>
      <c r="C10" s="11">
        <v>2021</v>
      </c>
      <c r="D10" s="10" t="s">
        <v>21</v>
      </c>
      <c r="E10" s="10"/>
      <c r="F10" s="11">
        <v>2</v>
      </c>
      <c r="G10" s="11" t="s">
        <v>27</v>
      </c>
      <c r="H10" s="11">
        <v>1</v>
      </c>
      <c r="I10" s="11">
        <v>3</v>
      </c>
      <c r="J10" s="11" t="s">
        <v>25</v>
      </c>
      <c r="K10" s="11">
        <v>10.75</v>
      </c>
      <c r="L10" s="11">
        <v>58.636913299560547</v>
      </c>
      <c r="M10" s="11">
        <v>31.117183685302734</v>
      </c>
      <c r="N10" s="11">
        <v>10.245902061462402</v>
      </c>
      <c r="O10" s="11" t="s">
        <v>38</v>
      </c>
      <c r="P10" s="11">
        <v>1.5385262046651453</v>
      </c>
      <c r="Q10" s="12">
        <v>0.29239999999999999</v>
      </c>
      <c r="R10" s="12">
        <v>0.25769999999999998</v>
      </c>
      <c r="S10" s="12">
        <v>0.16649999999999998</v>
      </c>
      <c r="T10" s="12">
        <v>1.0424892841961402</v>
      </c>
      <c r="U10" s="11">
        <v>0.15963333333333329</v>
      </c>
      <c r="V10" s="13">
        <v>0.33319580919973191</v>
      </c>
      <c r="W10" s="11">
        <v>19.75</v>
      </c>
      <c r="X10" s="13">
        <v>7.39</v>
      </c>
      <c r="Y10" s="13">
        <v>0.29596840000000002</v>
      </c>
      <c r="Z10">
        <v>0.25738800000000001</v>
      </c>
      <c r="AA10" s="3">
        <f t="shared" si="1"/>
        <v>-3.5684000000000271E-3</v>
      </c>
      <c r="AB10" s="3">
        <f t="shared" si="1"/>
        <v>3.1199999999997896E-4</v>
      </c>
    </row>
    <row r="11" spans="1:28" x14ac:dyDescent="0.35">
      <c r="A11" s="11">
        <v>16</v>
      </c>
      <c r="B11" s="11">
        <v>10</v>
      </c>
      <c r="C11" s="11">
        <v>2021</v>
      </c>
      <c r="D11" s="10" t="s">
        <v>21</v>
      </c>
      <c r="E11" s="10"/>
      <c r="F11" s="11">
        <v>2</v>
      </c>
      <c r="G11" s="11" t="s">
        <v>27</v>
      </c>
      <c r="H11" s="11">
        <v>2</v>
      </c>
      <c r="I11" s="11">
        <v>1</v>
      </c>
      <c r="J11" s="11" t="s">
        <v>23</v>
      </c>
      <c r="K11" s="11">
        <v>18.329999999999998</v>
      </c>
      <c r="L11" s="11">
        <v>60.566612243652344</v>
      </c>
      <c r="M11" s="11">
        <v>29.479324340820313</v>
      </c>
      <c r="N11" s="11">
        <v>9.9540586471557617</v>
      </c>
      <c r="O11" s="11" t="s">
        <v>38</v>
      </c>
      <c r="P11" s="11">
        <v>1.3484122007735848</v>
      </c>
      <c r="Q11" s="12">
        <v>0.28239999999999998</v>
      </c>
      <c r="R11" s="12">
        <v>0.2321</v>
      </c>
      <c r="S11" s="12">
        <v>0.12050000000000001</v>
      </c>
      <c r="T11" s="12">
        <v>67.947421449943661</v>
      </c>
      <c r="U11" s="11">
        <v>0.14703333333333329</v>
      </c>
      <c r="V11" s="13">
        <v>0.39061188822061643</v>
      </c>
      <c r="W11" s="11">
        <v>31</v>
      </c>
      <c r="X11" s="13">
        <v>7.7</v>
      </c>
      <c r="Y11" s="13">
        <v>0.28634999999999999</v>
      </c>
      <c r="Z11">
        <v>0.2296948</v>
      </c>
      <c r="AA11" s="3">
        <f t="shared" si="1"/>
        <v>-3.9500000000000091E-3</v>
      </c>
      <c r="AB11" s="3">
        <f t="shared" si="1"/>
        <v>2.4051999999999962E-3</v>
      </c>
    </row>
    <row r="12" spans="1:28" x14ac:dyDescent="0.35">
      <c r="A12" s="11">
        <v>17</v>
      </c>
      <c r="B12" s="11">
        <v>11</v>
      </c>
      <c r="C12" s="11">
        <v>2021</v>
      </c>
      <c r="D12" s="10" t="s">
        <v>21</v>
      </c>
      <c r="E12" s="10"/>
      <c r="F12" s="11">
        <v>2</v>
      </c>
      <c r="G12" s="11" t="s">
        <v>27</v>
      </c>
      <c r="H12" s="11">
        <v>2</v>
      </c>
      <c r="I12" s="11">
        <v>2</v>
      </c>
      <c r="J12" s="11" t="s">
        <v>24</v>
      </c>
      <c r="K12" s="11">
        <v>17.22</v>
      </c>
      <c r="L12" s="11">
        <v>57.640289306640625</v>
      </c>
      <c r="M12" s="11">
        <v>32.255558013916016</v>
      </c>
      <c r="N12" s="11">
        <v>10.104150772094727</v>
      </c>
      <c r="O12" s="11" t="s">
        <v>38</v>
      </c>
      <c r="P12" s="11">
        <v>1.5786210825075406</v>
      </c>
      <c r="Q12" s="12">
        <v>0.32799999999999996</v>
      </c>
      <c r="R12" s="12">
        <v>0.27440000000000003</v>
      </c>
      <c r="S12" s="12">
        <v>0.19269999999999998</v>
      </c>
      <c r="T12" s="12">
        <v>0</v>
      </c>
      <c r="U12" s="11">
        <v>0.223</v>
      </c>
      <c r="V12" s="13">
        <v>0.2575964786322385</v>
      </c>
      <c r="W12" s="11">
        <v>80.75</v>
      </c>
      <c r="X12" s="13">
        <v>7.63</v>
      </c>
      <c r="Y12" s="13">
        <v>0.32962730000000001</v>
      </c>
      <c r="Z12">
        <v>0.27810000000000001</v>
      </c>
      <c r="AA12" s="3">
        <f t="shared" si="1"/>
        <v>-1.6273000000000537E-3</v>
      </c>
      <c r="AB12" s="3">
        <f t="shared" si="1"/>
        <v>-3.6999999999999811E-3</v>
      </c>
    </row>
    <row r="13" spans="1:28" x14ac:dyDescent="0.35">
      <c r="A13" s="11">
        <v>18</v>
      </c>
      <c r="B13" s="11">
        <v>12</v>
      </c>
      <c r="C13" s="11">
        <v>2021</v>
      </c>
      <c r="D13" s="10" t="s">
        <v>21</v>
      </c>
      <c r="E13" s="10"/>
      <c r="F13" s="11">
        <v>2</v>
      </c>
      <c r="G13" s="11" t="s">
        <v>27</v>
      </c>
      <c r="H13" s="11">
        <v>2</v>
      </c>
      <c r="I13" s="11">
        <v>3</v>
      </c>
      <c r="J13" s="11" t="s">
        <v>25</v>
      </c>
      <c r="K13" s="11">
        <v>3.73</v>
      </c>
      <c r="L13" s="11">
        <v>51.009719848632813</v>
      </c>
      <c r="M13" s="11">
        <v>36.649215698242188</v>
      </c>
      <c r="N13" s="11">
        <v>12.341062545776367</v>
      </c>
      <c r="O13" s="11" t="s">
        <v>36</v>
      </c>
      <c r="P13" s="11">
        <v>1.507785696664494</v>
      </c>
      <c r="Q13" s="12">
        <v>0.34100000000000003</v>
      </c>
      <c r="R13" s="12">
        <v>0.29620000000000002</v>
      </c>
      <c r="S13" s="12">
        <v>0.15859999999999999</v>
      </c>
      <c r="T13" s="12">
        <v>0.33501729355590659</v>
      </c>
      <c r="U13" s="11">
        <v>0.13666666666666669</v>
      </c>
      <c r="V13" s="13">
        <v>0.17030208906229408</v>
      </c>
      <c r="W13" s="11">
        <v>37.75</v>
      </c>
      <c r="X13" s="13">
        <v>7.45</v>
      </c>
      <c r="Y13" s="13">
        <v>0.3395667</v>
      </c>
      <c r="Z13">
        <v>0.29549999999999998</v>
      </c>
      <c r="AA13" s="3">
        <f t="shared" si="1"/>
        <v>1.4333000000000262E-3</v>
      </c>
      <c r="AB13" s="3">
        <f t="shared" si="1"/>
        <v>7.0000000000003393E-4</v>
      </c>
    </row>
    <row r="14" spans="1:28" x14ac:dyDescent="0.35">
      <c r="A14" s="11">
        <v>22</v>
      </c>
      <c r="B14" s="11">
        <v>13</v>
      </c>
      <c r="C14" s="11">
        <v>2021</v>
      </c>
      <c r="D14" s="10" t="s">
        <v>21</v>
      </c>
      <c r="E14" s="10"/>
      <c r="F14" s="11">
        <v>2</v>
      </c>
      <c r="G14" s="11" t="s">
        <v>27</v>
      </c>
      <c r="H14" s="11">
        <v>4</v>
      </c>
      <c r="I14" s="11">
        <v>1</v>
      </c>
      <c r="J14" s="11" t="s">
        <v>23</v>
      </c>
      <c r="K14" s="11">
        <v>18.600000000000001</v>
      </c>
      <c r="L14" s="11">
        <v>58.75732421875</v>
      </c>
      <c r="M14" s="11">
        <v>30.450199127197266</v>
      </c>
      <c r="N14" s="11">
        <v>10.792475700378418</v>
      </c>
      <c r="O14" s="11" t="s">
        <v>38</v>
      </c>
      <c r="P14" s="11">
        <v>1.3125581792129157</v>
      </c>
      <c r="Q14" s="12">
        <v>0.33460000000000001</v>
      </c>
      <c r="R14" s="12">
        <v>0.26919999999999999</v>
      </c>
      <c r="S14" s="12">
        <v>0.13034999999999999</v>
      </c>
      <c r="T14" s="12">
        <v>3.1255676014627864</v>
      </c>
      <c r="U14" s="11">
        <v>0.218</v>
      </c>
      <c r="V14" s="13">
        <v>0.42721436870338309</v>
      </c>
      <c r="W14" s="11">
        <v>45.5</v>
      </c>
      <c r="X14" s="13">
        <v>7.64</v>
      </c>
      <c r="Y14" s="13">
        <f>(0.3263929+0.3454)/2</f>
        <v>0.33589645000000001</v>
      </c>
      <c r="Z14">
        <f>(0.2621548+0.2734741)/2</f>
        <v>0.26781445000000004</v>
      </c>
      <c r="AA14" s="3">
        <f t="shared" ref="AA14:AB22" si="2">Q14-Y14</f>
        <v>-1.2964500000000045E-3</v>
      </c>
      <c r="AB14" s="3">
        <f t="shared" si="2"/>
        <v>1.3855499999999576E-3</v>
      </c>
    </row>
    <row r="15" spans="1:28" x14ac:dyDescent="0.35">
      <c r="A15" s="11">
        <v>23</v>
      </c>
      <c r="B15" s="11">
        <v>14</v>
      </c>
      <c r="C15" s="11">
        <v>2021</v>
      </c>
      <c r="D15" s="10" t="s">
        <v>21</v>
      </c>
      <c r="E15" s="10"/>
      <c r="F15" s="11">
        <v>2</v>
      </c>
      <c r="G15" s="11" t="s">
        <v>27</v>
      </c>
      <c r="H15" s="11">
        <v>4</v>
      </c>
      <c r="I15" s="11">
        <v>2</v>
      </c>
      <c r="J15" s="11" t="s">
        <v>24</v>
      </c>
      <c r="K15" s="11">
        <v>18.79</v>
      </c>
      <c r="L15" s="11">
        <v>58.933830261230469</v>
      </c>
      <c r="M15" s="11">
        <v>30.218502044677734</v>
      </c>
      <c r="N15" s="11">
        <v>10.847667694091797</v>
      </c>
      <c r="O15" s="11" t="s">
        <v>38</v>
      </c>
      <c r="P15" s="11">
        <v>1.4425869047748245</v>
      </c>
      <c r="Q15" s="12">
        <v>0.33335000000000004</v>
      </c>
      <c r="R15" s="12">
        <v>0.24919999999999998</v>
      </c>
      <c r="S15" s="12">
        <v>0.17630000000000001</v>
      </c>
      <c r="T15" s="12">
        <v>2.2719672749312609</v>
      </c>
      <c r="U15" s="11">
        <v>0.1701333333333333</v>
      </c>
      <c r="V15" s="13">
        <v>0.32146074742085168</v>
      </c>
      <c r="W15" s="11">
        <v>7.25</v>
      </c>
      <c r="X15" s="13">
        <v>7.76</v>
      </c>
      <c r="Y15" s="13">
        <f>(0.3209615+0.3557)/2</f>
        <v>0.33833075000000001</v>
      </c>
      <c r="Z15">
        <f>(0.2530333+0.252328)/2</f>
        <v>0.25268065000000001</v>
      </c>
      <c r="AA15" s="3">
        <f t="shared" si="2"/>
        <v>-4.9807499999999783E-3</v>
      </c>
      <c r="AB15" s="3">
        <f t="shared" si="2"/>
        <v>-3.4806500000000296E-3</v>
      </c>
    </row>
    <row r="16" spans="1:28" x14ac:dyDescent="0.35">
      <c r="A16" s="11">
        <v>24</v>
      </c>
      <c r="B16" s="11">
        <v>15</v>
      </c>
      <c r="C16" s="11">
        <v>2021</v>
      </c>
      <c r="D16" s="10" t="s">
        <v>21</v>
      </c>
      <c r="E16" s="10"/>
      <c r="F16" s="11">
        <v>2</v>
      </c>
      <c r="G16" s="11" t="s">
        <v>27</v>
      </c>
      <c r="H16" s="11">
        <v>4</v>
      </c>
      <c r="I16" s="11">
        <v>3</v>
      </c>
      <c r="J16" s="11" t="s">
        <v>25</v>
      </c>
      <c r="K16" s="11">
        <v>9.66</v>
      </c>
      <c r="L16" s="11">
        <v>55.0196533203125</v>
      </c>
      <c r="M16" s="11">
        <v>33.262775421142578</v>
      </c>
      <c r="N16" s="11">
        <v>11.717568397521973</v>
      </c>
      <c r="O16" s="11" t="s">
        <v>38</v>
      </c>
      <c r="P16" s="11">
        <v>1.5231559506648196</v>
      </c>
      <c r="Q16" s="12">
        <v>0.31630000000000003</v>
      </c>
      <c r="R16" s="12">
        <v>0.28129999999999999</v>
      </c>
      <c r="S16" s="12">
        <v>0.17404999999999998</v>
      </c>
      <c r="T16" s="12">
        <v>0</v>
      </c>
      <c r="U16" s="11">
        <v>0.18343333333333331</v>
      </c>
      <c r="V16" s="13">
        <v>0.22023328005257586</v>
      </c>
      <c r="W16" s="11">
        <v>24.25</v>
      </c>
      <c r="X16" s="13">
        <v>7.71</v>
      </c>
      <c r="Y16" s="13">
        <f>(0.3507+0.286284)/2</f>
        <v>0.318492</v>
      </c>
      <c r="Z16">
        <f>(0.3040429+0.258092)/2</f>
        <v>0.28106745</v>
      </c>
      <c r="AA16" s="3">
        <f t="shared" si="2"/>
        <v>-2.1919999999999717E-3</v>
      </c>
      <c r="AB16" s="3">
        <f t="shared" si="2"/>
        <v>2.3254999999999804E-4</v>
      </c>
    </row>
    <row r="17" spans="1:28" x14ac:dyDescent="0.35">
      <c r="A17" s="11">
        <v>25</v>
      </c>
      <c r="B17" s="11">
        <v>16</v>
      </c>
      <c r="C17" s="11">
        <v>2021</v>
      </c>
      <c r="D17" s="10" t="s">
        <v>21</v>
      </c>
      <c r="E17" s="10"/>
      <c r="F17" s="11">
        <v>4</v>
      </c>
      <c r="G17" s="11" t="s">
        <v>28</v>
      </c>
      <c r="H17" s="11">
        <v>1</v>
      </c>
      <c r="I17" s="11">
        <v>1</v>
      </c>
      <c r="J17" s="11" t="s">
        <v>23</v>
      </c>
      <c r="K17" s="11">
        <v>10.78</v>
      </c>
      <c r="L17" s="11">
        <v>60.597415924072266</v>
      </c>
      <c r="M17" s="11">
        <v>30.021015167236328</v>
      </c>
      <c r="N17" s="11">
        <v>9.3815670013427734</v>
      </c>
      <c r="O17" s="11" t="s">
        <v>38</v>
      </c>
      <c r="P17" s="11">
        <v>1.3456214933949993</v>
      </c>
      <c r="Q17" s="12">
        <v>0.31730000000000003</v>
      </c>
      <c r="R17" s="12">
        <v>0.26379999999999998</v>
      </c>
      <c r="S17" s="12">
        <v>0.1396</v>
      </c>
      <c r="T17" s="12">
        <v>1.1053508097248359</v>
      </c>
      <c r="U17" s="11">
        <v>0.245</v>
      </c>
      <c r="V17" s="13">
        <v>0.9020964816056839</v>
      </c>
      <c r="W17" s="11">
        <v>32.5</v>
      </c>
      <c r="X17" s="13">
        <v>7.78</v>
      </c>
      <c r="Y17" s="13">
        <v>0.31675999999999999</v>
      </c>
      <c r="Z17">
        <v>0.2704338</v>
      </c>
      <c r="AA17" s="3">
        <f t="shared" si="2"/>
        <v>5.4000000000004045E-4</v>
      </c>
      <c r="AB17" s="3">
        <f t="shared" si="2"/>
        <v>-6.633800000000023E-3</v>
      </c>
    </row>
    <row r="18" spans="1:28" x14ac:dyDescent="0.35">
      <c r="A18" s="11">
        <v>26</v>
      </c>
      <c r="B18" s="11">
        <v>17</v>
      </c>
      <c r="C18" s="11">
        <v>2021</v>
      </c>
      <c r="D18" s="10" t="s">
        <v>21</v>
      </c>
      <c r="E18" s="10"/>
      <c r="F18" s="11">
        <v>4</v>
      </c>
      <c r="G18" s="11" t="s">
        <v>28</v>
      </c>
      <c r="H18" s="11">
        <v>1</v>
      </c>
      <c r="I18" s="11">
        <v>2</v>
      </c>
      <c r="J18" s="11" t="s">
        <v>24</v>
      </c>
      <c r="K18" s="11">
        <v>11.47</v>
      </c>
      <c r="L18" s="11">
        <v>61.320465087890625</v>
      </c>
      <c r="M18" s="11">
        <v>28.339462280273438</v>
      </c>
      <c r="N18" s="11">
        <v>10.340073585510254</v>
      </c>
      <c r="O18" s="11" t="s">
        <v>38</v>
      </c>
      <c r="P18" s="11">
        <v>1.4370314763050722</v>
      </c>
      <c r="Q18" s="12">
        <v>0.3664</v>
      </c>
      <c r="R18" s="12">
        <v>0.33289999999999997</v>
      </c>
      <c r="S18" s="12">
        <v>0.18479999999999999</v>
      </c>
      <c r="T18" s="12">
        <v>1.0013484688118661</v>
      </c>
      <c r="U18" s="11">
        <v>0.16803333333333331</v>
      </c>
      <c r="V18" s="13">
        <v>1.4072284411132929</v>
      </c>
      <c r="W18" s="11">
        <v>12</v>
      </c>
      <c r="X18" s="13">
        <v>7.49</v>
      </c>
      <c r="Y18" s="13">
        <v>0.36540709999999998</v>
      </c>
      <c r="Z18">
        <v>0.3352</v>
      </c>
      <c r="AA18" s="3">
        <f t="shared" si="2"/>
        <v>9.9290000000001877E-4</v>
      </c>
      <c r="AB18" s="3">
        <f t="shared" si="2"/>
        <v>-2.3000000000000242E-3</v>
      </c>
    </row>
    <row r="19" spans="1:28" x14ac:dyDescent="0.35">
      <c r="A19" s="11">
        <v>27</v>
      </c>
      <c r="B19" s="11">
        <v>18</v>
      </c>
      <c r="C19" s="11">
        <v>2021</v>
      </c>
      <c r="D19" s="10" t="s">
        <v>21</v>
      </c>
      <c r="E19" s="10"/>
      <c r="F19" s="11">
        <v>4</v>
      </c>
      <c r="G19" s="11" t="s">
        <v>28</v>
      </c>
      <c r="H19" s="11">
        <v>1</v>
      </c>
      <c r="I19" s="11">
        <v>3</v>
      </c>
      <c r="J19" s="11" t="s">
        <v>25</v>
      </c>
      <c r="K19" s="11">
        <v>5.62</v>
      </c>
      <c r="L19" s="11">
        <v>49.611824035644531</v>
      </c>
      <c r="M19" s="11">
        <v>39.564048767089844</v>
      </c>
      <c r="N19" s="11">
        <v>10.824126243591309</v>
      </c>
      <c r="O19" s="11" t="s">
        <v>36</v>
      </c>
      <c r="P19" s="11">
        <v>1.4378744013175537</v>
      </c>
      <c r="Q19" s="12">
        <v>0.3569</v>
      </c>
      <c r="R19" s="12">
        <v>0.30680000000000002</v>
      </c>
      <c r="S19" s="12">
        <v>0.17079999999999998</v>
      </c>
      <c r="T19" s="12">
        <v>0</v>
      </c>
      <c r="U19" s="11">
        <v>0.1678</v>
      </c>
      <c r="V19" s="13">
        <v>1.3433822838902507</v>
      </c>
      <c r="W19" s="11">
        <v>45.25</v>
      </c>
      <c r="X19" s="13">
        <v>7.21</v>
      </c>
      <c r="Y19" s="13">
        <v>0.36115000000000003</v>
      </c>
      <c r="Z19">
        <v>0.30845650000000002</v>
      </c>
      <c r="AA19" s="3">
        <f t="shared" si="2"/>
        <v>-4.2500000000000315E-3</v>
      </c>
      <c r="AB19" s="3">
        <f t="shared" si="2"/>
        <v>-1.6565000000000052E-3</v>
      </c>
    </row>
    <row r="20" spans="1:28" x14ac:dyDescent="0.35">
      <c r="A20" s="11">
        <v>28</v>
      </c>
      <c r="B20" s="11">
        <v>19</v>
      </c>
      <c r="C20" s="11">
        <v>2021</v>
      </c>
      <c r="D20" s="10" t="s">
        <v>21</v>
      </c>
      <c r="E20" s="10"/>
      <c r="F20" s="11">
        <v>4</v>
      </c>
      <c r="G20" s="11" t="s">
        <v>28</v>
      </c>
      <c r="H20" s="11">
        <v>2</v>
      </c>
      <c r="I20" s="11">
        <v>1</v>
      </c>
      <c r="J20" s="11" t="s">
        <v>23</v>
      </c>
      <c r="K20" s="11">
        <v>13.31</v>
      </c>
      <c r="L20" s="11">
        <v>57.461757659912109</v>
      </c>
      <c r="M20" s="11">
        <v>31.610990524291992</v>
      </c>
      <c r="N20" s="11">
        <v>10.927255630493164</v>
      </c>
      <c r="O20" s="11" t="s">
        <v>38</v>
      </c>
      <c r="P20" s="11">
        <v>1.377466155682882</v>
      </c>
      <c r="Q20" s="16">
        <v>0.2702</v>
      </c>
      <c r="R20" s="16">
        <v>0.19620000000000001</v>
      </c>
      <c r="S20" s="16">
        <v>0.17550000000000002</v>
      </c>
      <c r="T20" s="14">
        <v>6.2126109811140964</v>
      </c>
      <c r="U20" s="11">
        <v>0.23300000000000001</v>
      </c>
      <c r="V20" s="13">
        <v>0.82598824473665533</v>
      </c>
      <c r="W20" s="11">
        <v>52.25</v>
      </c>
      <c r="X20" s="13">
        <v>7.78</v>
      </c>
      <c r="Y20" s="13">
        <v>0.26269999999999999</v>
      </c>
      <c r="Z20">
        <v>0.20706669999999999</v>
      </c>
      <c r="AA20" s="3">
        <f t="shared" si="2"/>
        <v>7.5000000000000067E-3</v>
      </c>
      <c r="AB20" s="3">
        <f t="shared" si="2"/>
        <v>-1.0866699999999979E-2</v>
      </c>
    </row>
    <row r="21" spans="1:28" x14ac:dyDescent="0.35">
      <c r="A21" s="11">
        <v>29</v>
      </c>
      <c r="B21" s="11">
        <v>20</v>
      </c>
      <c r="C21" s="11">
        <v>2021</v>
      </c>
      <c r="D21" s="10" t="s">
        <v>21</v>
      </c>
      <c r="E21" s="10"/>
      <c r="F21" s="11">
        <v>4</v>
      </c>
      <c r="G21" s="11" t="s">
        <v>28</v>
      </c>
      <c r="H21" s="11">
        <v>2</v>
      </c>
      <c r="I21" s="11">
        <v>2</v>
      </c>
      <c r="J21" s="11" t="s">
        <v>24</v>
      </c>
      <c r="K21" s="11">
        <v>12.22</v>
      </c>
      <c r="L21" s="11">
        <v>59.158973693847656</v>
      </c>
      <c r="M21" s="11">
        <v>30.630767822265625</v>
      </c>
      <c r="N21" s="11">
        <v>10.21025562286377</v>
      </c>
      <c r="O21" s="11" t="s">
        <v>38</v>
      </c>
      <c r="P21" s="11">
        <v>1.5370314763050723</v>
      </c>
      <c r="Q21" s="12">
        <v>0.32390000000000002</v>
      </c>
      <c r="R21" s="12">
        <v>0.28160000000000002</v>
      </c>
      <c r="S21" s="12">
        <v>0.1096</v>
      </c>
      <c r="T21" s="12">
        <v>0.27757074782620228</v>
      </c>
      <c r="U21" s="11">
        <v>0.15770000000000001</v>
      </c>
      <c r="V21" s="13">
        <v>1.0975188281330959</v>
      </c>
      <c r="W21" s="11">
        <v>72.75</v>
      </c>
      <c r="X21" s="13">
        <v>7.71</v>
      </c>
      <c r="Y21" s="13">
        <v>0.31990000000000002</v>
      </c>
      <c r="Z21">
        <v>0.27950419999999998</v>
      </c>
      <c r="AA21" s="3">
        <f t="shared" si="2"/>
        <v>4.0000000000000036E-3</v>
      </c>
      <c r="AB21" s="3">
        <f t="shared" si="2"/>
        <v>2.0958000000000365E-3</v>
      </c>
    </row>
    <row r="22" spans="1:28" x14ac:dyDescent="0.35">
      <c r="A22" s="11">
        <v>30</v>
      </c>
      <c r="B22" s="11">
        <v>21</v>
      </c>
      <c r="C22" s="11">
        <v>2021</v>
      </c>
      <c r="D22" s="10" t="s">
        <v>21</v>
      </c>
      <c r="E22" s="10"/>
      <c r="F22" s="11">
        <v>4</v>
      </c>
      <c r="G22" s="11" t="s">
        <v>28</v>
      </c>
      <c r="H22" s="11">
        <v>2</v>
      </c>
      <c r="I22" s="11">
        <v>3</v>
      </c>
      <c r="J22" s="11" t="s">
        <v>25</v>
      </c>
      <c r="K22" s="11">
        <v>5.2</v>
      </c>
      <c r="L22" s="11">
        <v>54.217952728271484</v>
      </c>
      <c r="M22" s="11">
        <v>34.524166107177734</v>
      </c>
      <c r="N22" s="11">
        <v>11.257880210876465</v>
      </c>
      <c r="O22" s="11" t="s">
        <v>38</v>
      </c>
      <c r="P22" s="11">
        <v>1.519755914837146</v>
      </c>
      <c r="Q22" s="12">
        <v>0.31180000000000002</v>
      </c>
      <c r="R22" s="12">
        <v>0.24530000000000002</v>
      </c>
      <c r="S22" s="12">
        <v>0.12089999999999999</v>
      </c>
      <c r="T22" s="12">
        <v>0.39769526086733975</v>
      </c>
      <c r="U22" s="11">
        <v>0.12963333333333329</v>
      </c>
      <c r="V22" s="13">
        <v>1.8480128165400493</v>
      </c>
      <c r="W22" s="11">
        <v>30.75</v>
      </c>
      <c r="X22" s="13">
        <v>7.36</v>
      </c>
      <c r="Y22" s="13">
        <v>0.31330000000000002</v>
      </c>
      <c r="Z22">
        <v>0.2424308</v>
      </c>
      <c r="AA22" s="3">
        <f t="shared" si="2"/>
        <v>-1.5000000000000013E-3</v>
      </c>
      <c r="AB22" s="3">
        <f t="shared" si="2"/>
        <v>2.8692000000000162E-3</v>
      </c>
    </row>
    <row r="23" spans="1:28" x14ac:dyDescent="0.35">
      <c r="A23" s="11">
        <v>34</v>
      </c>
      <c r="B23" s="11">
        <v>22</v>
      </c>
      <c r="C23" s="11">
        <v>2021</v>
      </c>
      <c r="D23" s="10" t="s">
        <v>21</v>
      </c>
      <c r="E23" s="10"/>
      <c r="F23" s="11">
        <v>4</v>
      </c>
      <c r="G23" s="11" t="s">
        <v>28</v>
      </c>
      <c r="H23" s="11">
        <v>4</v>
      </c>
      <c r="I23" s="11">
        <v>1</v>
      </c>
      <c r="J23" s="11" t="s">
        <v>23</v>
      </c>
      <c r="K23" s="11">
        <v>12.21</v>
      </c>
      <c r="L23" s="11">
        <v>58.068023681640625</v>
      </c>
      <c r="M23" s="11">
        <v>31.060722351074219</v>
      </c>
      <c r="N23" s="11">
        <v>10.87125301361084</v>
      </c>
      <c r="O23" s="11" t="s">
        <v>38</v>
      </c>
      <c r="P23" s="11">
        <v>1.3615438245389406</v>
      </c>
      <c r="Q23" s="12">
        <v>0.23320000000000002</v>
      </c>
      <c r="R23" s="12">
        <v>0.17435</v>
      </c>
      <c r="S23" s="12">
        <v>0.13084999999999999</v>
      </c>
      <c r="T23" s="12">
        <v>11.319871152503357</v>
      </c>
      <c r="U23" s="11">
        <v>0.15820000000000001</v>
      </c>
      <c r="V23" s="13">
        <v>0.78758566726300783</v>
      </c>
      <c r="W23" s="11">
        <v>8.75</v>
      </c>
      <c r="X23" s="13">
        <v>7.68</v>
      </c>
      <c r="Y23" s="13">
        <v>0.23689687500000001</v>
      </c>
      <c r="Z23">
        <v>0.19560978021978001</v>
      </c>
      <c r="AA23" s="3">
        <f>Q23-Y23</f>
        <v>-3.6968749999999884E-3</v>
      </c>
      <c r="AB23" s="3">
        <f>R23-Z23</f>
        <v>-2.1259780219780006E-2</v>
      </c>
    </row>
    <row r="24" spans="1:28" x14ac:dyDescent="0.35">
      <c r="A24" s="11">
        <v>35</v>
      </c>
      <c r="B24" s="11">
        <v>23</v>
      </c>
      <c r="C24" s="11">
        <v>2021</v>
      </c>
      <c r="D24" s="10" t="s">
        <v>21</v>
      </c>
      <c r="E24" s="10"/>
      <c r="F24" s="11">
        <v>4</v>
      </c>
      <c r="G24" s="11" t="s">
        <v>28</v>
      </c>
      <c r="H24" s="11">
        <v>4</v>
      </c>
      <c r="I24" s="11">
        <v>2</v>
      </c>
      <c r="J24" s="11" t="s">
        <v>24</v>
      </c>
      <c r="K24" s="11">
        <v>13.88</v>
      </c>
      <c r="L24" s="11">
        <v>57.153785705566406</v>
      </c>
      <c r="M24" s="11">
        <v>31.752105712890625</v>
      </c>
      <c r="N24" s="11">
        <v>11.094108581542969</v>
      </c>
      <c r="O24" s="11" t="s">
        <v>38</v>
      </c>
      <c r="P24" s="11">
        <v>1.6370314763050724</v>
      </c>
      <c r="Q24" s="12">
        <v>0.31115000000000004</v>
      </c>
      <c r="R24" s="12">
        <v>0.26234999999999997</v>
      </c>
      <c r="S24" s="12">
        <v>0.15770000000000001</v>
      </c>
      <c r="T24" s="12">
        <v>0.43832980051882497</v>
      </c>
      <c r="U24" s="11">
        <v>0.152</v>
      </c>
      <c r="V24" s="13">
        <v>0.88826577315529731</v>
      </c>
      <c r="W24" s="11">
        <v>11.75</v>
      </c>
      <c r="X24" s="13">
        <v>7.47</v>
      </c>
      <c r="Y24" s="13">
        <v>0.32771499999999998</v>
      </c>
      <c r="Z24">
        <v>0.27588706896551696</v>
      </c>
      <c r="AA24" s="3">
        <f>Q24-Y24</f>
        <v>-1.6564999999999941E-2</v>
      </c>
      <c r="AB24" s="3">
        <f>R24-Z24</f>
        <v>-1.3537068965516985E-2</v>
      </c>
    </row>
    <row r="25" spans="1:28" x14ac:dyDescent="0.35">
      <c r="A25" s="11">
        <v>36</v>
      </c>
      <c r="B25" s="11">
        <v>24</v>
      </c>
      <c r="C25" s="11">
        <v>2021</v>
      </c>
      <c r="D25" s="10" t="s">
        <v>21</v>
      </c>
      <c r="E25" s="10"/>
      <c r="F25" s="11">
        <v>4</v>
      </c>
      <c r="G25" s="11" t="s">
        <v>28</v>
      </c>
      <c r="H25" s="11">
        <v>4</v>
      </c>
      <c r="I25" s="11">
        <v>3</v>
      </c>
      <c r="J25" s="11" t="s">
        <v>25</v>
      </c>
      <c r="K25" s="11">
        <v>7.31</v>
      </c>
      <c r="L25" s="11">
        <v>56.967521667480469</v>
      </c>
      <c r="M25" s="11">
        <v>32.180812835693359</v>
      </c>
      <c r="N25" s="11">
        <v>10.851669311523438</v>
      </c>
      <c r="O25" s="11" t="s">
        <v>38</v>
      </c>
      <c r="P25" s="11">
        <v>1.4788151580773499</v>
      </c>
      <c r="Q25" s="12">
        <v>0.28584999999999999</v>
      </c>
      <c r="R25" s="12">
        <v>0.23244999999999999</v>
      </c>
      <c r="S25" s="12">
        <v>0.17054999999999998</v>
      </c>
      <c r="T25" s="12">
        <v>2.6961787131811992</v>
      </c>
      <c r="U25" s="11">
        <v>0.21</v>
      </c>
      <c r="V25" s="13">
        <v>0.49180942722531729</v>
      </c>
      <c r="W25" s="11">
        <v>16</v>
      </c>
      <c r="X25" s="13">
        <v>7.09</v>
      </c>
      <c r="Y25" s="13">
        <v>0.3153094951923075</v>
      </c>
      <c r="Z25">
        <v>0.26759196428571452</v>
      </c>
      <c r="AA25" s="3">
        <f t="shared" ref="AA25:AB31" si="3">Q25-Y25</f>
        <v>-2.9459495192307505E-2</v>
      </c>
      <c r="AB25" s="3">
        <f t="shared" si="3"/>
        <v>-3.5141964285714533E-2</v>
      </c>
    </row>
    <row r="26" spans="1:28" x14ac:dyDescent="0.35">
      <c r="A26" s="11">
        <v>37</v>
      </c>
      <c r="B26" s="11">
        <v>25</v>
      </c>
      <c r="C26" s="11">
        <v>2021</v>
      </c>
      <c r="D26" s="10" t="s">
        <v>21</v>
      </c>
      <c r="E26" s="10"/>
      <c r="F26" s="11">
        <v>6</v>
      </c>
      <c r="G26" s="11" t="s">
        <v>29</v>
      </c>
      <c r="H26" s="11">
        <v>1</v>
      </c>
      <c r="I26" s="11">
        <v>1</v>
      </c>
      <c r="J26" s="11" t="s">
        <v>23</v>
      </c>
      <c r="K26" s="11">
        <v>10.57</v>
      </c>
      <c r="L26" s="11">
        <v>63.801605224609375</v>
      </c>
      <c r="M26" s="11">
        <v>28.111522674560547</v>
      </c>
      <c r="N26" s="11">
        <v>8.0868759155273438</v>
      </c>
      <c r="O26" s="11" t="s">
        <v>38</v>
      </c>
      <c r="P26" s="11">
        <v>1.4029211848643399</v>
      </c>
      <c r="Q26" s="12">
        <v>0.28190000000000004</v>
      </c>
      <c r="R26" s="12">
        <v>0.20559999999999998</v>
      </c>
      <c r="S26" s="12">
        <v>0.20019999999999999</v>
      </c>
      <c r="T26" s="12">
        <v>5.8248153710254655</v>
      </c>
      <c r="U26" s="11">
        <v>0.13159999999999999</v>
      </c>
      <c r="V26" s="13">
        <v>0.63469197757970885</v>
      </c>
      <c r="W26" s="11">
        <v>36.25</v>
      </c>
      <c r="X26" s="13">
        <v>7.13</v>
      </c>
      <c r="Y26" s="13">
        <v>0.28051999999999999</v>
      </c>
      <c r="Z26">
        <v>0.21590909090909099</v>
      </c>
      <c r="AA26" s="3">
        <f t="shared" si="3"/>
        <v>1.3800000000000479E-3</v>
      </c>
      <c r="AB26" s="3">
        <f t="shared" si="3"/>
        <v>-1.0309090909091018E-2</v>
      </c>
    </row>
    <row r="27" spans="1:28" x14ac:dyDescent="0.35">
      <c r="A27" s="11">
        <v>38</v>
      </c>
      <c r="B27" s="11">
        <v>26</v>
      </c>
      <c r="C27" s="11">
        <v>2021</v>
      </c>
      <c r="D27" s="10" t="s">
        <v>21</v>
      </c>
      <c r="E27" s="10"/>
      <c r="F27" s="11">
        <v>6</v>
      </c>
      <c r="G27" s="11" t="s">
        <v>29</v>
      </c>
      <c r="H27" s="11">
        <v>1</v>
      </c>
      <c r="I27" s="11">
        <v>2</v>
      </c>
      <c r="J27" s="11" t="s">
        <v>24</v>
      </c>
      <c r="K27" s="11">
        <v>7.45</v>
      </c>
      <c r="L27" s="11">
        <v>65.577239990234375</v>
      </c>
      <c r="M27" s="11">
        <v>26.100770950317383</v>
      </c>
      <c r="N27" s="11">
        <v>8.3219852447509766</v>
      </c>
      <c r="O27" s="11" t="s">
        <v>38</v>
      </c>
      <c r="P27" s="11">
        <v>1.5128222862032394</v>
      </c>
      <c r="Q27" s="12">
        <v>0.30570000000000003</v>
      </c>
      <c r="R27" s="12">
        <v>0.25569999999999998</v>
      </c>
      <c r="S27" s="12">
        <v>0.13830000000000001</v>
      </c>
      <c r="T27" s="12">
        <v>0</v>
      </c>
      <c r="U27" s="11">
        <v>0.1226666666666667</v>
      </c>
      <c r="V27" s="13">
        <v>0.5731239600335335</v>
      </c>
      <c r="W27" s="11">
        <v>20.25</v>
      </c>
      <c r="X27" s="13">
        <v>7.13</v>
      </c>
      <c r="Y27" s="13">
        <v>0.2959</v>
      </c>
      <c r="Z27">
        <v>0.262748648648649</v>
      </c>
      <c r="AA27" s="3">
        <f t="shared" si="3"/>
        <v>9.8000000000000309E-3</v>
      </c>
      <c r="AB27" s="3">
        <f t="shared" si="3"/>
        <v>-7.0486486486490141E-3</v>
      </c>
    </row>
    <row r="28" spans="1:28" x14ac:dyDescent="0.35">
      <c r="A28" s="11">
        <v>39</v>
      </c>
      <c r="B28" s="11">
        <v>27</v>
      </c>
      <c r="C28" s="11">
        <v>2021</v>
      </c>
      <c r="D28" s="10" t="s">
        <v>21</v>
      </c>
      <c r="E28" s="10"/>
      <c r="F28" s="11">
        <v>6</v>
      </c>
      <c r="G28" s="11" t="s">
        <v>29</v>
      </c>
      <c r="H28" s="11">
        <v>1</v>
      </c>
      <c r="I28" s="11">
        <v>3</v>
      </c>
      <c r="J28" s="11" t="s">
        <v>25</v>
      </c>
      <c r="K28" s="11">
        <v>3.31</v>
      </c>
      <c r="L28" s="11">
        <v>72.70416259765625</v>
      </c>
      <c r="M28" s="11">
        <v>20.939275741577148</v>
      </c>
      <c r="N28" s="11">
        <v>6.3565659523010254</v>
      </c>
      <c r="O28" s="11" t="s">
        <v>38</v>
      </c>
      <c r="P28" s="11">
        <v>1.4188484672880644</v>
      </c>
      <c r="Q28" s="12">
        <v>0.27479999999999999</v>
      </c>
      <c r="R28" s="12">
        <v>0.20379999999999998</v>
      </c>
      <c r="S28" s="12">
        <v>0.1389</v>
      </c>
      <c r="T28" s="12">
        <v>0.30046966753860127</v>
      </c>
      <c r="U28" s="11">
        <v>0.10683333333333329</v>
      </c>
      <c r="V28" s="13">
        <v>0.64165993211058037</v>
      </c>
      <c r="W28" s="11">
        <v>10</v>
      </c>
      <c r="X28" s="13">
        <v>7.22</v>
      </c>
      <c r="Y28" s="13">
        <v>0.27726666666666699</v>
      </c>
      <c r="Z28">
        <v>0.20614054054054101</v>
      </c>
      <c r="AA28" s="3">
        <f t="shared" si="3"/>
        <v>-2.4666666666670056E-3</v>
      </c>
      <c r="AB28" s="3">
        <f t="shared" si="3"/>
        <v>-2.3405405405410307E-3</v>
      </c>
    </row>
    <row r="29" spans="1:28" x14ac:dyDescent="0.35">
      <c r="A29" s="11">
        <v>40</v>
      </c>
      <c r="B29" s="11">
        <v>28</v>
      </c>
      <c r="C29" s="11">
        <v>2021</v>
      </c>
      <c r="D29" s="10" t="s">
        <v>21</v>
      </c>
      <c r="E29" s="10"/>
      <c r="F29" s="11">
        <v>6</v>
      </c>
      <c r="G29" s="11" t="s">
        <v>29</v>
      </c>
      <c r="H29" s="11">
        <v>2</v>
      </c>
      <c r="I29" s="11">
        <v>1</v>
      </c>
      <c r="J29" s="11" t="s">
        <v>23</v>
      </c>
      <c r="K29" s="11">
        <v>10.86</v>
      </c>
      <c r="L29" s="11">
        <v>62.899982452392578</v>
      </c>
      <c r="M29" s="11">
        <v>29.757305145263672</v>
      </c>
      <c r="N29" s="11">
        <v>7.3427114486694336</v>
      </c>
      <c r="O29" s="11" t="s">
        <v>38</v>
      </c>
      <c r="P29" s="11">
        <v>1.3311040515866535</v>
      </c>
      <c r="Q29" s="12">
        <v>0.2883</v>
      </c>
      <c r="R29" s="12">
        <v>0.22109999999999999</v>
      </c>
      <c r="S29" s="12">
        <v>0.1971</v>
      </c>
      <c r="T29" s="12">
        <v>7.9326547076718645</v>
      </c>
      <c r="U29" s="11">
        <v>0.13800000000000001</v>
      </c>
      <c r="V29" s="13">
        <v>0.45916444757734626</v>
      </c>
      <c r="W29" s="11">
        <v>21.5</v>
      </c>
      <c r="X29" s="13">
        <v>7.33</v>
      </c>
      <c r="Y29" s="13">
        <v>0.280409090909091</v>
      </c>
      <c r="Z29">
        <v>0.23528356164383599</v>
      </c>
      <c r="AA29" s="3">
        <f t="shared" si="3"/>
        <v>7.8909090909090041E-3</v>
      </c>
      <c r="AB29" s="3">
        <f t="shared" si="3"/>
        <v>-1.4183561643835996E-2</v>
      </c>
    </row>
    <row r="30" spans="1:28" x14ac:dyDescent="0.35">
      <c r="A30" s="11">
        <v>41</v>
      </c>
      <c r="B30" s="11">
        <v>29</v>
      </c>
      <c r="C30" s="11">
        <v>2021</v>
      </c>
      <c r="D30" s="10" t="s">
        <v>21</v>
      </c>
      <c r="E30" s="10"/>
      <c r="F30" s="11">
        <v>6</v>
      </c>
      <c r="G30" s="11" t="s">
        <v>29</v>
      </c>
      <c r="H30" s="11">
        <v>2</v>
      </c>
      <c r="I30" s="11">
        <v>2</v>
      </c>
      <c r="J30" s="11" t="s">
        <v>24</v>
      </c>
      <c r="K30" s="11">
        <v>9.35</v>
      </c>
      <c r="L30" s="11">
        <v>61.568023681640625</v>
      </c>
      <c r="M30" s="11">
        <v>31.129899978637695</v>
      </c>
      <c r="N30" s="11">
        <v>7.3020753860473633</v>
      </c>
      <c r="O30" s="11" t="s">
        <v>38</v>
      </c>
      <c r="P30" s="11">
        <v>1.4268852424706528</v>
      </c>
      <c r="Q30" s="12">
        <v>0.30079999999999996</v>
      </c>
      <c r="R30" s="12">
        <v>0.26200000000000001</v>
      </c>
      <c r="S30" s="12">
        <v>0.12529999999999999</v>
      </c>
      <c r="T30" s="12">
        <v>1.636680852697477</v>
      </c>
      <c r="U30" s="11">
        <v>9.0866666666666679E-2</v>
      </c>
      <c r="V30" s="13">
        <v>0.77317761118440365</v>
      </c>
      <c r="W30" s="11">
        <v>14.5</v>
      </c>
      <c r="X30" s="13">
        <v>7.27</v>
      </c>
      <c r="Y30" s="13">
        <v>0.30238571428571398</v>
      </c>
      <c r="Z30">
        <v>0.25918799999999997</v>
      </c>
      <c r="AA30" s="3">
        <f t="shared" si="3"/>
        <v>-1.5857142857140238E-3</v>
      </c>
      <c r="AB30" s="3">
        <f t="shared" si="3"/>
        <v>2.8120000000000367E-3</v>
      </c>
    </row>
    <row r="31" spans="1:28" x14ac:dyDescent="0.35">
      <c r="A31" s="11">
        <v>42</v>
      </c>
      <c r="B31" s="11">
        <v>30</v>
      </c>
      <c r="C31" s="11">
        <v>2021</v>
      </c>
      <c r="D31" s="10" t="s">
        <v>21</v>
      </c>
      <c r="E31" s="10"/>
      <c r="F31" s="11">
        <v>6</v>
      </c>
      <c r="G31" s="11" t="s">
        <v>29</v>
      </c>
      <c r="H31" s="11">
        <v>2</v>
      </c>
      <c r="I31" s="11">
        <v>3</v>
      </c>
      <c r="J31" s="11" t="s">
        <v>25</v>
      </c>
      <c r="K31" s="11">
        <v>2.94</v>
      </c>
      <c r="L31" s="11">
        <v>51.00994873046875</v>
      </c>
      <c r="M31" s="11">
        <v>42.206813812255859</v>
      </c>
      <c r="N31" s="11">
        <v>6.7832379341125488</v>
      </c>
      <c r="O31" s="11" t="s">
        <v>38</v>
      </c>
      <c r="P31" s="11">
        <v>1.4268756041444925</v>
      </c>
      <c r="Q31" s="12">
        <v>0.32579999999999998</v>
      </c>
      <c r="R31" s="12">
        <v>0.25019999999999998</v>
      </c>
      <c r="S31" s="12">
        <v>0.11</v>
      </c>
      <c r="T31" s="12">
        <v>16.427550457776189</v>
      </c>
      <c r="U31" s="11">
        <v>0.10676666666666659</v>
      </c>
      <c r="V31" s="13">
        <v>0.75164008685686834</v>
      </c>
      <c r="W31" s="11">
        <v>27.5</v>
      </c>
      <c r="X31" s="13">
        <v>7.15</v>
      </c>
      <c r="Y31" s="13">
        <v>0.32096538461538499</v>
      </c>
      <c r="Z31">
        <v>0.25201428571428602</v>
      </c>
      <c r="AA31" s="3">
        <f t="shared" si="3"/>
        <v>4.8346153846149931E-3</v>
      </c>
      <c r="AB31" s="3">
        <f t="shared" si="3"/>
        <v>-1.8142857142860458E-3</v>
      </c>
    </row>
    <row r="32" spans="1:28" x14ac:dyDescent="0.35">
      <c r="A32" s="11">
        <v>46</v>
      </c>
      <c r="B32" s="11">
        <v>31</v>
      </c>
      <c r="C32" s="11">
        <v>2021</v>
      </c>
      <c r="D32" s="10" t="s">
        <v>21</v>
      </c>
      <c r="E32" s="10"/>
      <c r="F32" s="11">
        <v>6</v>
      </c>
      <c r="G32" s="11" t="s">
        <v>29</v>
      </c>
      <c r="H32" s="11">
        <v>4</v>
      </c>
      <c r="I32" s="11">
        <v>1</v>
      </c>
      <c r="J32" s="11" t="s">
        <v>23</v>
      </c>
      <c r="K32" s="11">
        <v>10.44</v>
      </c>
      <c r="L32" s="11">
        <v>62.109611511230469</v>
      </c>
      <c r="M32" s="11">
        <v>30.618494033813477</v>
      </c>
      <c r="N32" s="11">
        <v>7.2718920707702637</v>
      </c>
      <c r="O32" s="11" t="s">
        <v>38</v>
      </c>
      <c r="P32" s="11">
        <v>1.3696779332017699</v>
      </c>
      <c r="Q32" s="12">
        <v>0.24859999999999999</v>
      </c>
      <c r="R32" s="12">
        <v>0.1867</v>
      </c>
      <c r="S32" s="12">
        <v>0.14949999999999999</v>
      </c>
      <c r="T32" s="11">
        <v>16.908319349153835</v>
      </c>
      <c r="U32" s="11">
        <v>0.1062333333333333</v>
      </c>
      <c r="V32" s="13">
        <v>0.55577813506105633</v>
      </c>
      <c r="W32" s="11">
        <v>33.75</v>
      </c>
      <c r="X32" s="13">
        <v>7.27</v>
      </c>
      <c r="Y32" s="13">
        <v>0.243582352941176</v>
      </c>
      <c r="Z32">
        <v>0.19847846153846199</v>
      </c>
      <c r="AA32" s="3">
        <f t="shared" ref="AA32:AB39" si="4">Q32-Y32</f>
        <v>5.0176470588239874E-3</v>
      </c>
      <c r="AB32" s="3">
        <f t="shared" si="4"/>
        <v>-1.1778461538461987E-2</v>
      </c>
    </row>
    <row r="33" spans="1:28" x14ac:dyDescent="0.35">
      <c r="A33" s="11">
        <v>47</v>
      </c>
      <c r="B33" s="11">
        <v>32</v>
      </c>
      <c r="C33" s="11">
        <v>2021</v>
      </c>
      <c r="D33" s="10" t="s">
        <v>21</v>
      </c>
      <c r="E33" s="10"/>
      <c r="F33" s="11">
        <v>6</v>
      </c>
      <c r="G33" s="11" t="s">
        <v>29</v>
      </c>
      <c r="H33" s="11">
        <v>4</v>
      </c>
      <c r="I33" s="11">
        <v>2</v>
      </c>
      <c r="J33" s="11" t="s">
        <v>24</v>
      </c>
      <c r="K33" s="11">
        <v>8.1999999999999993</v>
      </c>
      <c r="L33" s="11">
        <v>61.514778137207031</v>
      </c>
      <c r="M33" s="11">
        <v>31.173030853271484</v>
      </c>
      <c r="N33" s="11">
        <v>7.3121919631958008</v>
      </c>
      <c r="O33" s="11" t="s">
        <v>38</v>
      </c>
      <c r="P33" s="11">
        <v>1.463033830784461</v>
      </c>
      <c r="Q33" s="12">
        <v>0.28989999999999999</v>
      </c>
      <c r="R33" s="12">
        <v>0.22719999999999999</v>
      </c>
      <c r="S33" s="12">
        <v>0.13200000000000001</v>
      </c>
      <c r="T33" s="11">
        <v>3.8658784134865445</v>
      </c>
      <c r="U33" s="11">
        <v>9.9000000000000005E-2</v>
      </c>
      <c r="V33" s="13">
        <v>0.76992725579858767</v>
      </c>
      <c r="W33" s="11">
        <v>27.25</v>
      </c>
      <c r="X33" s="13">
        <v>6.93</v>
      </c>
      <c r="Y33" s="13">
        <v>0.29017777777777798</v>
      </c>
      <c r="Z33">
        <v>0.22652162162162201</v>
      </c>
      <c r="AA33" s="3">
        <f t="shared" si="4"/>
        <v>-2.7777777777798773E-4</v>
      </c>
      <c r="AB33" s="3">
        <f t="shared" si="4"/>
        <v>6.783783783779751E-4</v>
      </c>
    </row>
    <row r="34" spans="1:28" x14ac:dyDescent="0.35">
      <c r="A34" s="11">
        <v>48</v>
      </c>
      <c r="B34" s="11">
        <v>33</v>
      </c>
      <c r="C34" s="11">
        <v>2021</v>
      </c>
      <c r="D34" s="10" t="s">
        <v>21</v>
      </c>
      <c r="E34" s="10"/>
      <c r="F34" s="11">
        <v>6</v>
      </c>
      <c r="G34" s="11" t="s">
        <v>29</v>
      </c>
      <c r="H34" s="11">
        <v>4</v>
      </c>
      <c r="I34" s="11">
        <v>3</v>
      </c>
      <c r="J34" s="11" t="s">
        <v>25</v>
      </c>
      <c r="K34" s="11">
        <v>3.24</v>
      </c>
      <c r="L34" s="11">
        <v>56.120441436767578</v>
      </c>
      <c r="M34" s="11">
        <v>37.070659637451172</v>
      </c>
      <c r="N34" s="11">
        <v>6.8088970184326172</v>
      </c>
      <c r="O34" s="11" t="s">
        <v>38</v>
      </c>
      <c r="P34" s="11">
        <v>1.4776559578047344</v>
      </c>
      <c r="Q34" s="12">
        <v>0.30430000000000001</v>
      </c>
      <c r="R34" s="12">
        <v>0.24719999999999998</v>
      </c>
      <c r="S34" s="12">
        <v>0.1108</v>
      </c>
      <c r="T34" s="11">
        <v>0.18771571645853355</v>
      </c>
      <c r="U34" s="11">
        <v>0.13766666666666669</v>
      </c>
      <c r="V34" s="13">
        <v>0.70622990525601137</v>
      </c>
      <c r="W34" s="11">
        <v>103.5</v>
      </c>
      <c r="X34" s="13">
        <v>6.89</v>
      </c>
      <c r="Y34" s="13">
        <v>0.30487619047619002</v>
      </c>
      <c r="Z34">
        <v>0.24380689655172399</v>
      </c>
      <c r="AA34" s="3">
        <f t="shared" si="4"/>
        <v>-5.7619047619000829E-4</v>
      </c>
      <c r="AB34" s="3">
        <f t="shared" si="4"/>
        <v>3.3931034482759803E-3</v>
      </c>
    </row>
    <row r="35" spans="1:28" x14ac:dyDescent="0.35">
      <c r="A35" s="11">
        <v>49</v>
      </c>
      <c r="B35" s="11">
        <v>34</v>
      </c>
      <c r="C35" s="11">
        <v>2021</v>
      </c>
      <c r="D35" s="10" t="s">
        <v>21</v>
      </c>
      <c r="E35" s="10"/>
      <c r="F35" s="11">
        <v>8</v>
      </c>
      <c r="G35" s="11" t="s">
        <v>30</v>
      </c>
      <c r="H35" s="11">
        <v>1</v>
      </c>
      <c r="I35" s="11">
        <v>1</v>
      </c>
      <c r="J35" s="11" t="s">
        <v>23</v>
      </c>
      <c r="K35" s="11">
        <v>8.75</v>
      </c>
      <c r="L35" s="11">
        <v>66.584732055664063</v>
      </c>
      <c r="M35" s="11">
        <v>24.965431213378906</v>
      </c>
      <c r="N35" s="11">
        <v>8.4498386383056641</v>
      </c>
      <c r="O35" s="11" t="s">
        <v>38</v>
      </c>
      <c r="P35" s="11">
        <v>1.3803347024930064</v>
      </c>
      <c r="Q35" s="12">
        <v>0.28570000000000001</v>
      </c>
      <c r="R35" s="12">
        <v>0.2248</v>
      </c>
      <c r="S35" s="12">
        <v>0.19320000000000001</v>
      </c>
      <c r="T35" s="11">
        <v>27.323065395630991</v>
      </c>
      <c r="U35" s="11">
        <v>0.2273333333333333</v>
      </c>
      <c r="V35" s="13">
        <v>0.84339373480730417</v>
      </c>
      <c r="W35" s="11">
        <v>22.25</v>
      </c>
      <c r="X35" s="13">
        <v>7.83</v>
      </c>
      <c r="Y35" s="13">
        <v>0.27412500000000001</v>
      </c>
      <c r="Z35">
        <v>0.235164705882353</v>
      </c>
      <c r="AA35" s="3">
        <f t="shared" si="4"/>
        <v>1.1575000000000002E-2</v>
      </c>
      <c r="AB35" s="3">
        <f t="shared" si="4"/>
        <v>-1.0364705882352998E-2</v>
      </c>
    </row>
    <row r="36" spans="1:28" ht="13.75" customHeight="1" x14ac:dyDescent="0.35">
      <c r="A36" s="11">
        <v>50</v>
      </c>
      <c r="B36" s="11">
        <v>35</v>
      </c>
      <c r="C36" s="11">
        <v>2021</v>
      </c>
      <c r="D36" s="10" t="s">
        <v>21</v>
      </c>
      <c r="E36" s="10"/>
      <c r="F36" s="11">
        <v>8</v>
      </c>
      <c r="G36" s="11" t="s">
        <v>30</v>
      </c>
      <c r="H36" s="11">
        <v>1</v>
      </c>
      <c r="I36" s="11">
        <v>2</v>
      </c>
      <c r="J36" s="11" t="s">
        <v>24</v>
      </c>
      <c r="K36" s="11">
        <v>8.52</v>
      </c>
      <c r="L36" s="11">
        <v>68.065689086914063</v>
      </c>
      <c r="M36" s="11">
        <v>24.330900192260742</v>
      </c>
      <c r="N36" s="11">
        <v>7.6034064292907715</v>
      </c>
      <c r="O36" s="11" t="s">
        <v>38</v>
      </c>
      <c r="P36" s="11">
        <v>1.5793517392368124</v>
      </c>
      <c r="Q36" s="12">
        <v>0.27300000000000002</v>
      </c>
      <c r="R36" s="12">
        <v>0.21890000000000001</v>
      </c>
      <c r="S36" s="12">
        <v>0.13550000000000001</v>
      </c>
      <c r="T36" s="11">
        <v>0</v>
      </c>
      <c r="U36" s="11">
        <v>0.1759</v>
      </c>
      <c r="V36" s="13">
        <v>1.3510563025802058</v>
      </c>
      <c r="W36" s="11">
        <v>40.5</v>
      </c>
      <c r="X36" s="13">
        <v>7.88</v>
      </c>
      <c r="Y36" s="13">
        <v>0.26425454545454502</v>
      </c>
      <c r="Z36">
        <v>0.226536734693878</v>
      </c>
      <c r="AA36" s="3">
        <f t="shared" si="4"/>
        <v>8.7454545454550003E-3</v>
      </c>
      <c r="AB36" s="3">
        <f t="shared" si="4"/>
        <v>-7.636734693877989E-3</v>
      </c>
    </row>
    <row r="37" spans="1:28" x14ac:dyDescent="0.35">
      <c r="A37" s="11">
        <v>52</v>
      </c>
      <c r="B37" s="11">
        <v>36</v>
      </c>
      <c r="C37" s="11">
        <v>2021</v>
      </c>
      <c r="D37" s="10" t="s">
        <v>21</v>
      </c>
      <c r="E37" s="10"/>
      <c r="F37" s="11">
        <v>8</v>
      </c>
      <c r="G37" s="11" t="s">
        <v>30</v>
      </c>
      <c r="H37" s="11">
        <v>2</v>
      </c>
      <c r="I37" s="11">
        <v>1</v>
      </c>
      <c r="J37" s="11" t="s">
        <v>23</v>
      </c>
      <c r="K37" s="11">
        <v>9.76</v>
      </c>
      <c r="L37" s="11">
        <v>66.884895324707031</v>
      </c>
      <c r="M37" s="11">
        <v>25.502433776855469</v>
      </c>
      <c r="N37" s="11">
        <v>7.6126675605773926</v>
      </c>
      <c r="O37" s="11" t="s">
        <v>38</v>
      </c>
      <c r="P37" s="11">
        <v>1.3348068438747391</v>
      </c>
      <c r="Q37" s="12">
        <v>0.26774999999999999</v>
      </c>
      <c r="R37" s="12">
        <v>0.22325</v>
      </c>
      <c r="S37" s="12">
        <v>0.11699999999999999</v>
      </c>
      <c r="T37" s="11">
        <v>0.15642976371544459</v>
      </c>
      <c r="U37" s="11">
        <v>0.13353333333333331</v>
      </c>
      <c r="V37" s="13">
        <v>1.1027551980398167</v>
      </c>
      <c r="W37" s="11">
        <v>40</v>
      </c>
      <c r="X37" s="13">
        <v>7.59</v>
      </c>
      <c r="Y37" s="13">
        <v>0.26498877005347599</v>
      </c>
      <c r="Z37">
        <v>0.2257795708955225</v>
      </c>
      <c r="AA37" s="3">
        <f t="shared" si="4"/>
        <v>2.761229946524002E-3</v>
      </c>
      <c r="AB37" s="3">
        <f t="shared" si="4"/>
        <v>-2.5295708955224983E-3</v>
      </c>
    </row>
    <row r="38" spans="1:28" x14ac:dyDescent="0.35">
      <c r="A38" s="11">
        <v>53</v>
      </c>
      <c r="B38" s="11">
        <v>37</v>
      </c>
      <c r="C38" s="11">
        <v>2021</v>
      </c>
      <c r="D38" s="10" t="s">
        <v>21</v>
      </c>
      <c r="E38" s="10"/>
      <c r="F38" s="11">
        <v>8</v>
      </c>
      <c r="G38" s="11" t="s">
        <v>30</v>
      </c>
      <c r="H38" s="11">
        <v>2</v>
      </c>
      <c r="I38" s="11">
        <v>2</v>
      </c>
      <c r="J38" s="11" t="s">
        <v>24</v>
      </c>
      <c r="K38" s="11">
        <v>8.6199999999999992</v>
      </c>
      <c r="L38" s="11">
        <v>69.587310791015625</v>
      </c>
      <c r="M38" s="11">
        <v>23.098243713378906</v>
      </c>
      <c r="N38" s="11">
        <v>7.3144440650939941</v>
      </c>
      <c r="O38" s="11" t="s">
        <v>38</v>
      </c>
      <c r="P38" s="11">
        <v>1.4755177629887315</v>
      </c>
      <c r="Q38" s="12">
        <v>0.28520000000000001</v>
      </c>
      <c r="R38" s="12">
        <v>0.22144999999999998</v>
      </c>
      <c r="S38" s="12">
        <v>0.14155000000000001</v>
      </c>
      <c r="T38" s="11">
        <v>2.4028556188284536</v>
      </c>
      <c r="U38" s="11">
        <v>0.12620000000000001</v>
      </c>
      <c r="V38" s="13">
        <v>1.7291703108380341</v>
      </c>
      <c r="W38" s="11">
        <v>28.25</v>
      </c>
      <c r="X38" s="13">
        <v>7.46</v>
      </c>
      <c r="Y38" s="13">
        <v>0.28092874493927145</v>
      </c>
      <c r="Z38">
        <v>0.2274594871794875</v>
      </c>
      <c r="AA38" s="3">
        <f t="shared" si="4"/>
        <v>4.2712550607285626E-3</v>
      </c>
      <c r="AB38" s="3">
        <f t="shared" si="4"/>
        <v>-6.009487179487516E-3</v>
      </c>
    </row>
    <row r="39" spans="1:28" x14ac:dyDescent="0.35">
      <c r="A39" s="11">
        <v>54</v>
      </c>
      <c r="B39" s="11">
        <v>38</v>
      </c>
      <c r="C39" s="11">
        <v>2021</v>
      </c>
      <c r="D39" s="10" t="s">
        <v>21</v>
      </c>
      <c r="E39" s="10"/>
      <c r="F39" s="11">
        <v>8</v>
      </c>
      <c r="G39" s="11" t="s">
        <v>30</v>
      </c>
      <c r="H39" s="11">
        <v>2</v>
      </c>
      <c r="I39" s="11">
        <v>3</v>
      </c>
      <c r="J39" s="11" t="s">
        <v>25</v>
      </c>
      <c r="K39" s="11">
        <v>2.2799999999999998</v>
      </c>
      <c r="L39" s="11">
        <v>83.618766784667969</v>
      </c>
      <c r="M39" s="11">
        <v>10.052122116088867</v>
      </c>
      <c r="N39" s="11">
        <v>6.3291139602661133</v>
      </c>
      <c r="O39" s="11" t="s">
        <v>37</v>
      </c>
      <c r="P39" s="11">
        <v>1.4100359325892098</v>
      </c>
      <c r="Q39" s="12">
        <v>0.21650000000000003</v>
      </c>
      <c r="R39" s="12">
        <v>0.14265</v>
      </c>
      <c r="S39" s="12">
        <v>0.1212</v>
      </c>
      <c r="T39" s="11">
        <v>1.0038622313143279</v>
      </c>
      <c r="U39" s="11">
        <v>8.8066666666666668E-2</v>
      </c>
      <c r="V39" s="13">
        <v>1.5602315677301506</v>
      </c>
      <c r="W39" s="11">
        <v>9.5</v>
      </c>
      <c r="X39" s="13">
        <v>7.45</v>
      </c>
      <c r="Y39" s="13">
        <v>0.212979411764706</v>
      </c>
      <c r="Z39">
        <v>0.14347559170500102</v>
      </c>
      <c r="AA39" s="3">
        <f t="shared" si="4"/>
        <v>3.5205882352940254E-3</v>
      </c>
      <c r="AB39" s="3">
        <f t="shared" si="4"/>
        <v>-8.2559170500101642E-4</v>
      </c>
    </row>
    <row r="40" spans="1:28" x14ac:dyDescent="0.35">
      <c r="A40" s="11">
        <v>58</v>
      </c>
      <c r="B40" s="11">
        <v>39</v>
      </c>
      <c r="C40" s="11">
        <v>2021</v>
      </c>
      <c r="D40" s="10" t="s">
        <v>21</v>
      </c>
      <c r="E40" s="10"/>
      <c r="F40" s="11">
        <v>8</v>
      </c>
      <c r="G40" s="11" t="s">
        <v>30</v>
      </c>
      <c r="H40" s="11">
        <v>4</v>
      </c>
      <c r="I40" s="11">
        <v>1</v>
      </c>
      <c r="J40" s="11" t="s">
        <v>23</v>
      </c>
      <c r="K40" s="11">
        <v>9.75</v>
      </c>
      <c r="L40" s="11">
        <v>65.988990783691406</v>
      </c>
      <c r="M40" s="11">
        <v>27.132375717163086</v>
      </c>
      <c r="N40" s="11">
        <v>6.8786301612854004</v>
      </c>
      <c r="O40" s="11" t="s">
        <v>38</v>
      </c>
      <c r="P40" s="11">
        <v>1.2892789852564719</v>
      </c>
      <c r="Q40" s="12">
        <v>0.26400000000000001</v>
      </c>
      <c r="R40" s="12">
        <v>0.20800000000000002</v>
      </c>
      <c r="S40" s="12">
        <v>0.14679999999999999</v>
      </c>
      <c r="T40" s="11">
        <v>22.758295909686971</v>
      </c>
      <c r="U40" s="11">
        <v>0.15476666666666669</v>
      </c>
      <c r="V40" s="13">
        <v>1.4257770834198085</v>
      </c>
      <c r="W40" s="11">
        <v>25.75</v>
      </c>
      <c r="X40" s="13">
        <v>7.52</v>
      </c>
      <c r="Y40" s="13">
        <v>0.26339090909090901</v>
      </c>
      <c r="Z40">
        <v>0.21127499999999999</v>
      </c>
      <c r="AA40" s="3">
        <f t="shared" ref="AA40:AB42" si="5">Q40-Y40</f>
        <v>6.090909090910035E-4</v>
      </c>
      <c r="AB40" s="3">
        <f t="shared" si="5"/>
        <v>-3.2749999999999724E-3</v>
      </c>
    </row>
    <row r="41" spans="1:28" x14ac:dyDescent="0.35">
      <c r="A41" s="11">
        <v>59</v>
      </c>
      <c r="B41" s="11">
        <v>40</v>
      </c>
      <c r="C41" s="11">
        <v>2021</v>
      </c>
      <c r="D41" s="10" t="s">
        <v>21</v>
      </c>
      <c r="E41" s="10"/>
      <c r="F41" s="11">
        <v>8</v>
      </c>
      <c r="G41" s="11" t="s">
        <v>30</v>
      </c>
      <c r="H41" s="11">
        <v>4</v>
      </c>
      <c r="I41" s="11">
        <v>2</v>
      </c>
      <c r="J41" s="11" t="s">
        <v>24</v>
      </c>
      <c r="K41" s="11">
        <v>8.49</v>
      </c>
      <c r="L41" s="11">
        <v>66.641395568847656</v>
      </c>
      <c r="M41" s="11">
        <v>26.156179428100586</v>
      </c>
      <c r="N41" s="11">
        <v>7.2024259567260742</v>
      </c>
      <c r="O41" s="11" t="s">
        <v>38</v>
      </c>
      <c r="P41" s="11">
        <v>1.3716837867406506</v>
      </c>
      <c r="Q41" s="12">
        <v>0.26400000000000001</v>
      </c>
      <c r="R41" s="12">
        <v>0.20783499999999999</v>
      </c>
      <c r="S41" s="12">
        <v>0.14680000000000001</v>
      </c>
      <c r="T41" s="11">
        <v>1.2777946577108383</v>
      </c>
      <c r="U41" s="11">
        <v>0.1464</v>
      </c>
      <c r="V41" s="13">
        <v>1.8648170686763637</v>
      </c>
      <c r="W41" s="11">
        <v>15</v>
      </c>
      <c r="X41" s="13">
        <v>7.28</v>
      </c>
      <c r="Y41" s="13">
        <v>0.26339090909090901</v>
      </c>
      <c r="Z41">
        <v>0.21127499999999999</v>
      </c>
      <c r="AA41" s="3">
        <f t="shared" si="5"/>
        <v>6.090909090910035E-4</v>
      </c>
      <c r="AB41" s="3">
        <f t="shared" si="5"/>
        <v>-3.4399999999999986E-3</v>
      </c>
    </row>
    <row r="42" spans="1:28" x14ac:dyDescent="0.35">
      <c r="A42" s="11">
        <v>60</v>
      </c>
      <c r="B42" s="11">
        <v>41</v>
      </c>
      <c r="C42" s="11">
        <v>2021</v>
      </c>
      <c r="D42" s="10" t="s">
        <v>21</v>
      </c>
      <c r="E42" s="10"/>
      <c r="F42" s="11">
        <v>8</v>
      </c>
      <c r="G42" s="11" t="s">
        <v>30</v>
      </c>
      <c r="H42" s="11">
        <v>4</v>
      </c>
      <c r="I42" s="11">
        <v>3</v>
      </c>
      <c r="J42" s="11" t="s">
        <v>25</v>
      </c>
      <c r="K42" s="11">
        <v>2.5</v>
      </c>
      <c r="L42" s="11">
        <v>79.8687744140625</v>
      </c>
      <c r="M42" s="11">
        <v>14.539217948913574</v>
      </c>
      <c r="N42" s="11">
        <v>5.5920071601867676</v>
      </c>
      <c r="O42" s="11" t="s">
        <v>37</v>
      </c>
      <c r="P42" s="11">
        <v>1.3896393924237553</v>
      </c>
      <c r="Q42" s="12">
        <v>0.15179999999999999</v>
      </c>
      <c r="R42" s="12">
        <v>6.6299999999999998E-2</v>
      </c>
      <c r="S42" s="12">
        <v>5.57E-2</v>
      </c>
      <c r="T42" s="11">
        <v>2.9617368596790845</v>
      </c>
      <c r="U42" s="11">
        <v>0.23899999999999999</v>
      </c>
      <c r="V42" s="13">
        <v>1.0475316188150259</v>
      </c>
      <c r="W42" s="11">
        <v>6.25</v>
      </c>
      <c r="X42" s="13">
        <v>6.9</v>
      </c>
      <c r="Y42" s="13">
        <v>0.147166666666667</v>
      </c>
      <c r="Z42">
        <v>7.2814893617021301E-2</v>
      </c>
      <c r="AA42" s="3">
        <f t="shared" si="5"/>
        <v>4.6333333333329896E-3</v>
      </c>
      <c r="AB42" s="3">
        <f t="shared" si="5"/>
        <v>-6.5148936170213029E-3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Wang</dc:creator>
  <cp:lastModifiedBy>Lin Wang</cp:lastModifiedBy>
  <dcterms:created xsi:type="dcterms:W3CDTF">2024-10-07T11:52:57Z</dcterms:created>
  <dcterms:modified xsi:type="dcterms:W3CDTF">2026-02-02T13:28:21Z</dcterms:modified>
</cp:coreProperties>
</file>